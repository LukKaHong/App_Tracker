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640"/>
  </bookViews>
  <sheets>
    <sheet name="主控板功能需求V1.0" sheetId="3" r:id="rId1"/>
    <sheet name="开发环境需求2" sheetId="5" state="hidden" r:id="rId2"/>
    <sheet name="运行环境需求" sheetId="6" state="hidden" r:id="rId3"/>
  </sheets>
  <definedNames>
    <definedName name="_xlnm._FilterDatabase" localSheetId="1" hidden="1">开发环境需求2!$A$3:$H$106</definedName>
    <definedName name="_xlnm.Print_Area" localSheetId="1">开发环境需求2!$A$1:$H$120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<sst xmlns="http://schemas.openxmlformats.org/spreadsheetml/2006/main" count="641" uniqueCount="288">
  <si>
    <t>需求编号</t>
  </si>
  <si>
    <t>需求名称</t>
  </si>
  <si>
    <t>需求描述</t>
  </si>
  <si>
    <t>会议确认情况</t>
  </si>
  <si>
    <t>需求状态</t>
  </si>
  <si>
    <t>优先级</t>
  </si>
  <si>
    <t>复杂度</t>
  </si>
  <si>
    <t>实现版本</t>
  </si>
  <si>
    <t>备注</t>
  </si>
  <si>
    <t>RP1</t>
  </si>
  <si>
    <t>指示灯功能</t>
  </si>
  <si>
    <t xml:space="preserve">一颗RGB灯
1、充电，绿色慢闪
2、充满，绿色长亮
3、没电，红色慢闪
4、寻狗模式，狂闪
</t>
  </si>
  <si>
    <t>RP2</t>
  </si>
  <si>
    <t>按键功能</t>
  </si>
  <si>
    <t>关机模式下长按5s进入开机模式，开机要有声音和灯光增加仪式感
开机模式下长按5s进入关机模式，关机要有提示音</t>
  </si>
  <si>
    <t>RP3</t>
  </si>
  <si>
    <t>联网功能</t>
  </si>
  <si>
    <t>基于ML307C模组主控二次开发，使用AT指令实现交互，应用层协议采用MQTT，数据格式采用JSON，采用一型一密方式鉴权，设备具有唯一ID，APP通过绑定唯一ID建立数据通路，与平台交互的协议后续由平台提供
按协议即可</t>
  </si>
  <si>
    <t>RP4</t>
  </si>
  <si>
    <t>定位功能</t>
  </si>
  <si>
    <r>
      <rPr>
        <sz val="10"/>
        <color rgb="FF1D0DF1"/>
        <rFont val="微软雅黑"/>
        <charset val="134"/>
      </rPr>
      <t>1、定位上报模式如下
寻狗模式：5s/次，要有超时
常用模式：实时定位，定位频率30s/次
省电模式：定位频率5min/次
超级省电模式：此模式下默认休眠，查看设备时再启动定位，APP下发定位指令才定位一次。
2、定位可上报当前GPS定位状态、当前连接卫星个数、运动速度和</t>
    </r>
    <r>
      <rPr>
        <sz val="10"/>
        <color rgb="FFFF0000"/>
        <rFont val="微软雅黑"/>
        <charset val="134"/>
      </rPr>
      <t>单日运动公里数</t>
    </r>
    <r>
      <rPr>
        <sz val="10"/>
        <color rgb="FF1D0DF1"/>
        <rFont val="微软雅黑"/>
        <charset val="134"/>
      </rPr>
      <t>；</t>
    </r>
  </si>
  <si>
    <t>RP5</t>
  </si>
  <si>
    <t>蜂鸣器功能</t>
  </si>
  <si>
    <t>接收到响铃启动指令后启动蜂鸣提醒，接收到响铃关闭指令后关闭蜂鸣</t>
  </si>
  <si>
    <t>RP6</t>
  </si>
  <si>
    <t>充放电管理</t>
  </si>
  <si>
    <t>可以采集电池电压，上报当前剩余电量，电量低时默认进入休眠模式，ADC检测</t>
  </si>
  <si>
    <t>RP7</t>
  </si>
  <si>
    <t>麦克风功能</t>
  </si>
  <si>
    <t>预留功能</t>
  </si>
  <si>
    <t>RP8</t>
  </si>
  <si>
    <t>扬声器功能</t>
  </si>
  <si>
    <t>A工程-开发环境需求跟踪矩阵</t>
  </si>
  <si>
    <t>项目代号：</t>
  </si>
  <si>
    <t>项目编号：</t>
  </si>
  <si>
    <t>更新日期：</t>
  </si>
  <si>
    <t>需求模块</t>
  </si>
  <si>
    <t>变更类型</t>
  </si>
  <si>
    <t>工程管理</t>
  </si>
  <si>
    <t>新建工程</t>
  </si>
  <si>
    <t>新建工程，指定工程文件名，创建相关工程文件</t>
  </si>
  <si>
    <t>Citect以DBF管理相关工程文件</t>
  </si>
  <si>
    <t>打开工程</t>
  </si>
  <si>
    <t>打开工程管理文件</t>
  </si>
  <si>
    <t>保存工程</t>
  </si>
  <si>
    <t>保存当前文件</t>
  </si>
  <si>
    <t>另存工程</t>
  </si>
  <si>
    <t>将当前文档另存为其他名字</t>
  </si>
  <si>
    <t>复制工程</t>
  </si>
  <si>
    <t>将指定文件复制到另一文件，复制内容包含所有工程文件</t>
  </si>
  <si>
    <t>删除工程</t>
  </si>
  <si>
    <t>删除指定工程或文件</t>
  </si>
  <si>
    <t>版本管理</t>
  </si>
  <si>
    <t>在复制工程的基础上添加工程版本号编辑及版本说明</t>
  </si>
  <si>
    <t>备份工程</t>
  </si>
  <si>
    <t>将指定工程备份</t>
  </si>
  <si>
    <t>工程属性编辑</t>
  </si>
  <si>
    <t>更改工程属性，如密码保护</t>
  </si>
  <si>
    <t>运行环境配置</t>
  </si>
  <si>
    <t>配置本机IP、用户名</t>
  </si>
  <si>
    <t>配置当前工程运行计算机IP、用户名</t>
  </si>
  <si>
    <t>运行模块选择</t>
  </si>
  <si>
    <t>选择当前工程运行计算机上将会运行的模块规模），默认模块包括：工程管理、用户管理、IO配置、页面配置，其他模块为可选模块</t>
  </si>
  <si>
    <t>模块属性</t>
  </si>
  <si>
    <t>指定所选模块的主备角色和规模大小、或者在运行环境时，报警模块或报表模块是否可调用，指定当前计算机上将会运行的模块规模（主要是IO点数，页面多少），</t>
  </si>
  <si>
    <t>模块配置检查</t>
  </si>
  <si>
    <t>出现主备IO配置、数据库配置时，应当检查几个工程是否冲突</t>
  </si>
  <si>
    <t>计算机资源配置</t>
  </si>
  <si>
    <t>根据工程功能和性能分配适当的系统资源</t>
  </si>
  <si>
    <t>时间同步</t>
  </si>
  <si>
    <t>时间同步服务器</t>
  </si>
  <si>
    <t>支持局域网时间同步主机或从机功能，二选一。</t>
  </si>
  <si>
    <t>用户管理</t>
  </si>
  <si>
    <t>用户组管理</t>
  </si>
  <si>
    <t>添加、删除、修改用户组，用户组可访问的对象权限，页面权限等级</t>
  </si>
  <si>
    <t>添加、删除、修改用户，用户必须属于某一用户组，用户组可访问的对象权限，页面权限等级，低于或等于用户组权限</t>
  </si>
  <si>
    <t>用户信息</t>
  </si>
  <si>
    <t>修改当前用户信息。（所有用户均可操作，但不可修改权限）</t>
  </si>
  <si>
    <t>权限分级</t>
  </si>
  <si>
    <t>设置每个用户的权限级别（暂时分为管理员与一般用户）</t>
  </si>
  <si>
    <t>自定义权限</t>
  </si>
  <si>
    <t>可自定义权限级别（增加、删除级别），并可分配每个功能模块权限。</t>
  </si>
  <si>
    <t>用户验证</t>
  </si>
  <si>
    <t>进入系统前需进行登陆验证，并根据操作员级别进行权限分配</t>
  </si>
  <si>
    <t>IO配置</t>
  </si>
  <si>
    <t>IO点管理</t>
  </si>
  <si>
    <t>以标签形式管理IO，设置IO点标签名，权限，导入其他监控系统标签，支持导出标签</t>
  </si>
  <si>
    <t>内部变量管理</t>
  </si>
  <si>
    <t>以标签管理，内部变量命名，用以产生计算或者逻辑量</t>
  </si>
  <si>
    <t>IO点配置</t>
  </si>
  <si>
    <t>IO点协议选择，协议参数选取</t>
  </si>
  <si>
    <t>内部接口定义</t>
  </si>
  <si>
    <r>
      <rPr>
        <sz val="11"/>
        <rFont val="宋体"/>
        <charset val="134"/>
      </rPr>
      <t>允许调试读取缓冲区I</t>
    </r>
    <r>
      <rPr>
        <sz val="11"/>
        <rFont val="宋体"/>
        <charset val="134"/>
      </rPr>
      <t>O数据</t>
    </r>
  </si>
  <si>
    <t>数据库配置</t>
  </si>
  <si>
    <t>实时数据库配置</t>
  </si>
  <si>
    <t>配置实时数据库所保存IO点，数据库映射规则、域规则、编码规则（支持用户自定义数据编码、分组），设定数据库访问权限</t>
  </si>
  <si>
    <t>历史数据库配置</t>
  </si>
  <si>
    <t>配置历史数据库所保存IO点，数据库映射规则、域规则、编码规则（支持用户自定义数据编码、分组），设定数据库访问权限</t>
  </si>
  <si>
    <t>数据库转换</t>
  </si>
  <si>
    <r>
      <rPr>
        <sz val="11"/>
        <rFont val="宋体"/>
        <charset val="134"/>
      </rPr>
      <t>支持E</t>
    </r>
    <r>
      <rPr>
        <sz val="11"/>
        <rFont val="宋体"/>
        <charset val="134"/>
      </rPr>
      <t>XCEL、ACCESS、SQL等常见数据库之间的转换</t>
    </r>
  </si>
  <si>
    <t>页面配置</t>
  </si>
  <si>
    <t>页面管理</t>
  </si>
  <si>
    <t>新建、复制、另存页面（支持页面另存为模板）</t>
  </si>
  <si>
    <t>页面属性</t>
  </si>
  <si>
    <t>页面大小，背景颜色，各个页面运行次序，页面权限</t>
  </si>
  <si>
    <t>图层管理</t>
  </si>
  <si>
    <t>用不同的图层管理层叠对象的显示状态，可选择透明度</t>
  </si>
  <si>
    <t>添加对象</t>
  </si>
  <si>
    <t>添加、删除、修改对象，如点、线、面、多边形、圆弧、库符号，支持位图和矢量图</t>
  </si>
  <si>
    <t>编辑对象</t>
  </si>
  <si>
    <t>支持对象组合、拆分，图像转换（矢量图到位图），对象权限</t>
  </si>
  <si>
    <t>库管理</t>
  </si>
  <si>
    <t>将行业符号标准成库符号，分类后以库的形式进行管理，支持库分类，复制，</t>
  </si>
  <si>
    <t>库编辑</t>
  </si>
  <si>
    <t>在库框架内，用页面编辑工具编辑符号属性</t>
  </si>
  <si>
    <t>保存模板</t>
  </si>
  <si>
    <t>支持将页面另存为模板，模板内原有对象具有全局性，在库编辑内才能编辑</t>
  </si>
  <si>
    <t>模板管理</t>
  </si>
  <si>
    <t>支持模板编辑、模板复制、模板保护</t>
  </si>
  <si>
    <t>对象动作属性</t>
  </si>
  <si>
    <t>鼠标选定、点击（左右、单双、上下），键盘字母同时按下控制符对应动作，动作包括动画，隐显，弹出页面</t>
  </si>
  <si>
    <t>报警配置</t>
  </si>
  <si>
    <t>远程设置</t>
  </si>
  <si>
    <t>支持远程设置所有连接的仪表（继电器设置、电度清零、对时等）</t>
  </si>
  <si>
    <t>一键复制</t>
  </si>
  <si>
    <t>可一键复制设置到所有同类型仪表</t>
  </si>
  <si>
    <t>报警设备管理</t>
  </si>
  <si>
    <t>将文件作为设备，以设备形式管理报警输出，可添加多个报警设备</t>
  </si>
  <si>
    <t>报警点设置</t>
  </si>
  <si>
    <t>设置报警点的各限定值，报警级别（对应确认级别），报警点对应报警设备，</t>
  </si>
  <si>
    <t>报警逻辑设置</t>
  </si>
  <si>
    <t>设置报警点逻辑关系，如报警过滤器等</t>
  </si>
  <si>
    <t>报警确认配置</t>
  </si>
  <si>
    <t>手动对时及定时对时功能</t>
  </si>
  <si>
    <t>报表配置</t>
  </si>
  <si>
    <t>报表设备管理</t>
  </si>
  <si>
    <t>以设备形式管理报表输出，支持RTF，excel等自建报表模板，输出文档至指定文件夹</t>
  </si>
  <si>
    <t>报表属性</t>
  </si>
  <si>
    <t>设置报表输出时间间隔</t>
  </si>
  <si>
    <t>报表逻辑设置</t>
  </si>
  <si>
    <t>设置报警点逻辑，如报警过滤器等</t>
  </si>
  <si>
    <t>日志管理</t>
  </si>
  <si>
    <t>指定运行环境是否可以更改日志管理</t>
  </si>
  <si>
    <t>指定日志记录的范围</t>
  </si>
  <si>
    <t>指定日志记录触发条件</t>
  </si>
  <si>
    <t xml:space="preserve">设备管理
</t>
  </si>
  <si>
    <t>设备数据库
管理</t>
  </si>
  <si>
    <t>录入设备编号、设备出厂时间、启用时间、上次检修时间、售后电话、责任人、质保期等信息</t>
  </si>
  <si>
    <t>设备管理
策略</t>
  </si>
  <si>
    <t>指定维修策略，事件驱动型、定时检修型。</t>
  </si>
  <si>
    <t>逾期处理</t>
  </si>
  <si>
    <t>逾期未维修告警，通知责任人、延时期外通知主管</t>
  </si>
  <si>
    <r>
      <rPr>
        <sz val="11"/>
        <rFont val="宋体"/>
        <charset val="134"/>
      </rPr>
      <t>W</t>
    </r>
    <r>
      <rPr>
        <sz val="11"/>
        <rFont val="宋体"/>
        <charset val="134"/>
      </rPr>
      <t>eb服务器配置</t>
    </r>
  </si>
  <si>
    <t>实时数据访问</t>
  </si>
  <si>
    <t>历史数据访问</t>
  </si>
  <si>
    <t>报表数据访问</t>
  </si>
  <si>
    <t>报警数据访问</t>
  </si>
  <si>
    <t>可将报警信息通过手机短信等方式通知相关人员。（可购置短信猫）</t>
  </si>
  <si>
    <t>运行环境更改</t>
  </si>
  <si>
    <t>Email服务器配置</t>
  </si>
  <si>
    <t>报警报表输出</t>
  </si>
  <si>
    <t>项目需求情况汇总：</t>
  </si>
  <si>
    <t xml:space="preserve">    值
 项</t>
  </si>
  <si>
    <t>数量</t>
  </si>
  <si>
    <t>百分比</t>
  </si>
  <si>
    <t>总需求</t>
  </si>
  <si>
    <t>N/A</t>
  </si>
  <si>
    <t>原有需求</t>
  </si>
  <si>
    <t>新增需求</t>
  </si>
  <si>
    <t>修改需求</t>
  </si>
  <si>
    <t>删除需求</t>
  </si>
  <si>
    <t>V0.1版</t>
  </si>
  <si>
    <t>V0.2版</t>
  </si>
  <si>
    <t>V0.3版</t>
  </si>
  <si>
    <t>V0.4版</t>
  </si>
  <si>
    <t>未计划</t>
  </si>
  <si>
    <t>A工程-运行环境需求跟踪矩阵</t>
  </si>
  <si>
    <t>原有</t>
  </si>
  <si>
    <t>已批准</t>
  </si>
  <si>
    <t>高</t>
  </si>
  <si>
    <t>V0.1</t>
  </si>
  <si>
    <t>新增</t>
  </si>
  <si>
    <t>已建议</t>
  </si>
  <si>
    <t>中</t>
  </si>
  <si>
    <t>V0.2</t>
  </si>
  <si>
    <t>V0.3</t>
  </si>
  <si>
    <t>未商议</t>
  </si>
  <si>
    <t>低</t>
  </si>
  <si>
    <t>集群角色管理</t>
  </si>
  <si>
    <t>配置当前计算机在集群中的位置，定义当前计算机角色，并检查簇配置是否合理</t>
  </si>
  <si>
    <t>当前计算机上将会运行的模块，默认模块包括。。。</t>
  </si>
  <si>
    <t>计算机环境配置</t>
  </si>
  <si>
    <t>同步方式</t>
  </si>
  <si>
    <t>管理用户</t>
  </si>
  <si>
    <t>添加、删除、修改用户。（管理员权限管理）</t>
  </si>
  <si>
    <t>修改信息</t>
  </si>
  <si>
    <t>以标签形式管理IO，设置IO点标签名，权限，导入其他监控系统电表，导出标签</t>
  </si>
  <si>
    <t>内部变量命名，支持函数类</t>
  </si>
  <si>
    <t>页面大小、背景颜色、各个页面运行次序</t>
  </si>
  <si>
    <t>添加、删除、修改对象，如点、线、面、多边形、圆弧，支持位图和矢量图</t>
  </si>
  <si>
    <t>支持对象组合、拆分，图像转换（矢量图到位图）</t>
  </si>
  <si>
    <t>支持将页面另存为模板，模板内原有对象具有全局性，在库编辑</t>
  </si>
  <si>
    <t>支持模板编辑、模板复制、模板保护等</t>
  </si>
  <si>
    <t>修改</t>
  </si>
  <si>
    <t>选定、点击（左右、单双）对应动作，动作包括动画，隐藏，显现，弹出页面</t>
  </si>
  <si>
    <t>以设备形式管理报警输出，</t>
  </si>
  <si>
    <t>删除</t>
  </si>
  <si>
    <t>已删除</t>
  </si>
  <si>
    <t>设置报警点的各限定值，报警级别（对应确认级别）</t>
  </si>
  <si>
    <t>动态刷新显示网络拓扑图上所有仪表的实时运行参数（参数可选）</t>
  </si>
  <si>
    <t>报表范围设置</t>
  </si>
  <si>
    <t>显示实时显示所有基本测量量；显示仪表信息、状态、电压、电流值；</t>
  </si>
  <si>
    <r>
      <rPr>
        <sz val="11"/>
        <rFont val="宋体"/>
        <charset val="134"/>
      </rPr>
      <t>显示</t>
    </r>
    <r>
      <rPr>
        <sz val="11"/>
        <rFont val="Times New Roman"/>
        <charset val="134"/>
      </rPr>
      <t>DI/DO</t>
    </r>
    <r>
      <rPr>
        <sz val="11"/>
        <rFont val="宋体"/>
        <charset val="134"/>
      </rPr>
      <t>（开关量）状态</t>
    </r>
  </si>
  <si>
    <t>以表盘形式显示电流、电压</t>
  </si>
  <si>
    <t>显示电流电压矢量图</t>
  </si>
  <si>
    <t>显示主接线图，并实时刷新主接线上仪表的运行参数</t>
  </si>
  <si>
    <t>检查仪表的电压、电流、功因越限报警，并记录。（以上位机为准）</t>
  </si>
  <si>
    <t>设备管理
提示</t>
  </si>
  <si>
    <t>对仪表进行电压、电流、功因上、下限设置。支持一键复制所有设置。</t>
  </si>
  <si>
    <t>自动弹出报警画面，显示报警信息。（可考虑同时发出报警声）</t>
  </si>
  <si>
    <t>可查询打印历史报警记录报表</t>
  </si>
  <si>
    <t>可配置将报警信息通过email方式通知相关人员。</t>
  </si>
  <si>
    <t>调试环境</t>
  </si>
  <si>
    <t>报文抓取</t>
  </si>
  <si>
    <t>将数据库或数据文件进行备份与恢复</t>
  </si>
  <si>
    <t>V0.4</t>
  </si>
  <si>
    <t>使用数据文件保存每个仪表的采集数据，并可将每个仪表的数据打包导出（针对N5），保存时间可选</t>
  </si>
  <si>
    <t>使用免费软件作为数据库（成本原因）（其他仪表）</t>
  </si>
  <si>
    <t>客户可选大数据保存方案（另外收费），数据可保存数年</t>
  </si>
  <si>
    <t>对系统、数据进行加密，或系统注册</t>
  </si>
  <si>
    <t>实时电能质量分析</t>
  </si>
  <si>
    <t>电能质量分析</t>
  </si>
  <si>
    <r>
      <rPr>
        <sz val="11"/>
        <rFont val="宋体"/>
        <charset val="134"/>
      </rPr>
      <t>根据7项国标要求，分别对电能质量各项指标进行持续监测与数据分析，包括:
PR09.1.1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公用电网谐波
PR09.1.2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三相电压允许不平衡度
PR09.1.3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电力系统频率允许偏差
PR09.1.4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电压波动和闪变
PR09.1.5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供电电压允许偏差
PR09.1.6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暂时过电压和瞬态过电压
PR09.1.7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 xml:space="preserve">公用电网间谐波 </t>
    </r>
  </si>
  <si>
    <t>导出PQDIF</t>
  </si>
  <si>
    <t>将电能质量数据导出PQDIF文件</t>
  </si>
  <si>
    <t>电能质量分析图</t>
  </si>
  <si>
    <t>各种电能质量和计量数据进行分析和显示与分析</t>
  </si>
  <si>
    <t>故障波形</t>
  </si>
  <si>
    <t>故障波形显示分析</t>
  </si>
  <si>
    <t>统计分析</t>
  </si>
  <si>
    <t>查看超限记录</t>
  </si>
  <si>
    <t>分类查询超限记录（仪表、时间、参数可选）</t>
  </si>
  <si>
    <t>查看历史电度</t>
  </si>
  <si>
    <t>查看历史电度数据</t>
  </si>
  <si>
    <t>数据对比分析</t>
  </si>
  <si>
    <t>支持不同仪表的数据对比</t>
  </si>
  <si>
    <t>电能质量历史数据曲线分析</t>
  </si>
  <si>
    <r>
      <rPr>
        <sz val="11"/>
        <rFont val="宋体"/>
        <charset val="134"/>
      </rPr>
      <t>可查询历史电能质量曲线图（时、日、月、季、年数据），并可打印
PR10.4.1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电网频率变化曲线</t>
    </r>
    <r>
      <rPr>
        <sz val="11"/>
        <rFont val="Arial"/>
        <charset val="134"/>
      </rPr>
      <t xml:space="preserve">		</t>
    </r>
    <r>
      <rPr>
        <sz val="11"/>
        <rFont val="宋体"/>
        <charset val="134"/>
      </rPr>
      <t xml:space="preserve">
PR10.4.2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基波电压电流变化曲线</t>
    </r>
    <r>
      <rPr>
        <sz val="11"/>
        <rFont val="Arial"/>
        <charset val="134"/>
      </rPr>
      <t xml:space="preserve">		</t>
    </r>
    <r>
      <rPr>
        <sz val="11"/>
        <rFont val="宋体"/>
        <charset val="134"/>
      </rPr>
      <t xml:space="preserve">
PR10.4.3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 xml:space="preserve">谐波电压电流变化曲线 </t>
    </r>
    <r>
      <rPr>
        <sz val="11"/>
        <rFont val="Arial"/>
        <charset val="134"/>
      </rPr>
      <t xml:space="preserve">		</t>
    </r>
    <r>
      <rPr>
        <sz val="11"/>
        <rFont val="宋体"/>
        <charset val="134"/>
      </rPr>
      <t xml:space="preserve">
PR10.4.4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电压不平衡度变化曲线</t>
    </r>
    <r>
      <rPr>
        <sz val="11"/>
        <rFont val="Arial"/>
        <charset val="134"/>
      </rPr>
      <t xml:space="preserve">		</t>
    </r>
    <r>
      <rPr>
        <sz val="11"/>
        <rFont val="宋体"/>
        <charset val="134"/>
      </rPr>
      <t xml:space="preserve">
PR10.4.5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 xml:space="preserve">电流不平衡度变化曲线 </t>
    </r>
    <r>
      <rPr>
        <sz val="11"/>
        <rFont val="Arial"/>
        <charset val="134"/>
      </rPr>
      <t xml:space="preserve">		</t>
    </r>
    <r>
      <rPr>
        <sz val="11"/>
        <rFont val="宋体"/>
        <charset val="134"/>
      </rPr>
      <t xml:space="preserve">
PR10.4.6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电压电流总畸变率变化曲线</t>
    </r>
    <r>
      <rPr>
        <sz val="11"/>
        <rFont val="Arial"/>
        <charset val="134"/>
      </rPr>
      <t xml:space="preserve">		</t>
    </r>
    <r>
      <rPr>
        <sz val="11"/>
        <rFont val="宋体"/>
        <charset val="134"/>
      </rPr>
      <t xml:space="preserve">
PR10.4.7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 xml:space="preserve">电压电流有效值变化曲线 </t>
    </r>
    <r>
      <rPr>
        <sz val="11"/>
        <rFont val="Arial"/>
        <charset val="134"/>
      </rPr>
      <t xml:space="preserve">		</t>
    </r>
    <r>
      <rPr>
        <sz val="11"/>
        <rFont val="宋体"/>
        <charset val="134"/>
      </rPr>
      <t xml:space="preserve">
PR10.4.8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总功率变化曲线</t>
    </r>
    <r>
      <rPr>
        <sz val="11"/>
        <rFont val="Arial"/>
        <charset val="134"/>
      </rPr>
      <t xml:space="preserve">		</t>
    </r>
    <r>
      <rPr>
        <sz val="11"/>
        <rFont val="宋体"/>
        <charset val="134"/>
      </rPr>
      <t xml:space="preserve">
PR10.4.9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 xml:space="preserve">谐波功率变化曲线 </t>
    </r>
    <r>
      <rPr>
        <sz val="11"/>
        <rFont val="Arial"/>
        <charset val="134"/>
      </rPr>
      <t xml:space="preserve">		</t>
    </r>
    <r>
      <rPr>
        <sz val="11"/>
        <rFont val="宋体"/>
        <charset val="134"/>
      </rPr>
      <t xml:space="preserve">
PR10.4.10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 xml:space="preserve">功率因数变化曲线  </t>
    </r>
    <r>
      <rPr>
        <sz val="11"/>
        <rFont val="Arial"/>
        <charset val="134"/>
      </rPr>
      <t xml:space="preserve">		</t>
    </r>
    <r>
      <rPr>
        <sz val="11"/>
        <rFont val="宋体"/>
        <charset val="134"/>
      </rPr>
      <t xml:space="preserve">
PR10.4.11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短时/长时闪变值变化曲线</t>
    </r>
    <r>
      <rPr>
        <sz val="11"/>
        <rFont val="Arial"/>
        <charset val="134"/>
      </rPr>
      <t xml:space="preserve">		</t>
    </r>
  </si>
  <si>
    <t>电能计量分析</t>
  </si>
  <si>
    <t>包含不同仪表的用电量对比分析图</t>
  </si>
  <si>
    <t>导出Excel</t>
  </si>
  <si>
    <t>导出采集数据、事件记录、电度报表，对比分析结果</t>
  </si>
  <si>
    <t>图表方式显示</t>
  </si>
  <si>
    <t>用户可选择数字、柱状图、趋势图、单线图等多元化显示；</t>
  </si>
  <si>
    <t>电能质量历史数据统计功能</t>
  </si>
  <si>
    <r>
      <rPr>
        <sz val="11"/>
        <rFont val="宋体"/>
        <charset val="134"/>
      </rPr>
      <t>针对某一监测点各类电能质量指标的统计、分析
PR10.8.1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稳态数据统计功能 
PR10.8.2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暂态数据统计功能 
PR10.8.3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各类指标统计
PR10.8.4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仪表历史存储数据</t>
    </r>
  </si>
  <si>
    <t>报表打印</t>
  </si>
  <si>
    <t>仪表报表</t>
  </si>
  <si>
    <t>对单个仪表打印基础信息与实时数据报表</t>
  </si>
  <si>
    <t>电度报表</t>
  </si>
  <si>
    <t>打印单个仪表的电能和需量统计报表（日、月、年报表)</t>
  </si>
  <si>
    <t>区域电度报表</t>
  </si>
  <si>
    <t>可按客户打印仪表电度</t>
  </si>
  <si>
    <t>电能质量报表</t>
  </si>
  <si>
    <r>
      <rPr>
        <sz val="11"/>
        <rFont val="宋体"/>
        <charset val="134"/>
      </rPr>
      <t>电能质量综合报表、需量分析报表等，具体包含
PR11.4.1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电能质量综合报表
PR11.4.2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谐波电压/电流含有率报表
PR11.4.3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电压偏差综合报表
PR11.4.4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电压闪变综合报表
PR11.4.5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电网频率记录报表
PR11.4.6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总功率记录报表
PR11.4.7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谐波功率记录报表
PR11.4.8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三相不平衡度记录报表
PR11.4.9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谐波电压电流相位记录报表
PR11.4.10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谐波电压电流总畸变率记录报表
PR11.4.11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短时闪变记录报表
PR11.4.12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长时闪变记录报表
PR11.4.13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-</t>
    </r>
    <r>
      <rPr>
        <sz val="11"/>
        <rFont val="Arial"/>
        <charset val="134"/>
      </rPr>
      <t xml:space="preserve">	</t>
    </r>
    <r>
      <rPr>
        <sz val="11"/>
        <rFont val="宋体"/>
        <charset val="134"/>
      </rPr>
      <t>电能质量月报表</t>
    </r>
  </si>
  <si>
    <t>自定义报表</t>
  </si>
  <si>
    <t>用户可自由选取报表内容</t>
  </si>
  <si>
    <t>PDF导出</t>
  </si>
  <si>
    <t>所有打印信息均可导出PDF格式文档</t>
  </si>
  <si>
    <t>其它</t>
  </si>
  <si>
    <t>界面参数可设</t>
  </si>
  <si>
    <t>界面显示的参数可设置，其单位、分辨率也可设</t>
  </si>
  <si>
    <t>实现多语言</t>
  </si>
  <si>
    <t>系统分简体中文与英文界面（英文字体建议用Arial）</t>
  </si>
  <si>
    <t>多平台可用</t>
  </si>
  <si>
    <t>支持Windows（XP、Win 7、Vista 等）和硬盘驱动</t>
  </si>
  <si>
    <t>TCP/IP功能</t>
  </si>
  <si>
    <t>可监控PMAC系列的TCP/IP通讯设备、转换器、仪表</t>
  </si>
  <si>
    <t>模拟演示</t>
  </si>
  <si>
    <t>内部产生模拟仪表数据供演示</t>
  </si>
  <si>
    <t>对外接口</t>
  </si>
  <si>
    <t>软件对外部提供部分功能接口</t>
  </si>
  <si>
    <t>可选择功能模块</t>
  </si>
  <si>
    <t>电能质量分析以模块形式提供，灵活配置。</t>
  </si>
  <si>
    <t>集成计费功能</t>
  </si>
  <si>
    <t>将电能计费功能（EMS1000)集成到本系统</t>
  </si>
  <si>
    <t>Web浏览</t>
  </si>
  <si>
    <t>通过浏览器使用系统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</si>
</sst>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indexed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0"/>
      <color rgb="FF1D0DF1"/>
      <name val="微软雅黑"/>
      <charset val="134"/>
    </font>
    <font>
      <sz val="10"/>
      <color indexed="10"/>
      <name val="微软雅黑"/>
      <charset val="134"/>
    </font>
    <font>
      <b/>
      <sz val="10"/>
      <color rgb="FF1D0DF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11"/>
      <name val="Arial"/>
      <charset val="134"/>
    </font>
    <font>
      <sz val="11"/>
      <name val="Times New Roman"/>
      <charset val="134"/>
    </font>
    <font>
      <sz val="10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Down="1"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8" applyNumberFormat="0" applyAlignment="0" applyProtection="0">
      <alignment vertical="center"/>
    </xf>
    <xf numFmtId="0" fontId="22" fillId="6" borderId="19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7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 applyProtection="0">
      <alignment vertical="center"/>
    </xf>
    <xf numFmtId="0" fontId="32" fillId="0" borderId="0" applyProtection="0">
      <alignment vertical="center"/>
    </xf>
    <xf numFmtId="0" fontId="32" fillId="0" borderId="0" applyProtection="0">
      <alignment vertical="center"/>
    </xf>
    <xf numFmtId="0" fontId="32" fillId="0" borderId="0" applyProtection="0">
      <alignment vertical="center"/>
    </xf>
    <xf numFmtId="0" fontId="32" fillId="0" borderId="0" applyProtection="0">
      <alignment vertical="center"/>
    </xf>
    <xf numFmtId="0" fontId="32" fillId="0" borderId="0" applyProtection="0">
      <alignment vertical="center"/>
    </xf>
    <xf numFmtId="0" fontId="32" fillId="0" borderId="0" applyProtection="0">
      <alignment vertical="center"/>
    </xf>
  </cellStyleXfs>
  <cellXfs count="87">
    <xf numFmtId="0" fontId="0" fillId="0" borderId="0" xfId="0" applyAlignment="1"/>
    <xf numFmtId="0" fontId="0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/>
    <xf numFmtId="0" fontId="2" fillId="2" borderId="0" xfId="0" applyNumberFormat="1" applyFont="1" applyFill="1" applyBorder="1" applyAlignment="1"/>
    <xf numFmtId="0" fontId="2" fillId="2" borderId="0" xfId="0" applyNumberFormat="1" applyFont="1" applyFill="1" applyBorder="1" applyAlignment="1" applyProtection="1">
      <protection locked="0"/>
    </xf>
    <xf numFmtId="0" fontId="3" fillId="2" borderId="0" xfId="0" applyNumberFormat="1" applyFont="1" applyFill="1" applyBorder="1" applyAlignment="1" applyProtection="1">
      <protection locked="0"/>
    </xf>
    <xf numFmtId="0" fontId="3" fillId="2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49" fontId="0" fillId="2" borderId="0" xfId="0" applyNumberFormat="1" applyFont="1" applyFill="1" applyBorder="1" applyAlignment="1">
      <alignment wrapText="1"/>
    </xf>
    <xf numFmtId="0" fontId="0" fillId="2" borderId="0" xfId="0" applyNumberFormat="1" applyFont="1" applyFill="1" applyBorder="1" applyAlignment="1"/>
    <xf numFmtId="0" fontId="0" fillId="2" borderId="0" xfId="0" applyNumberFormat="1" applyFont="1" applyFill="1" applyBorder="1" applyAlignment="1">
      <alignment horizontal="left"/>
    </xf>
    <xf numFmtId="0" fontId="0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49" fontId="4" fillId="2" borderId="0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horizontal="right" vertical="center"/>
    </xf>
    <xf numFmtId="49" fontId="5" fillId="2" borderId="0" xfId="0" applyNumberFormat="1" applyFont="1" applyFill="1" applyBorder="1" applyAlignment="1">
      <alignment horizontal="left" vertical="center"/>
    </xf>
    <xf numFmtId="49" fontId="5" fillId="2" borderId="0" xfId="0" applyNumberFormat="1" applyFont="1" applyFill="1" applyBorder="1" applyAlignment="1">
      <alignment horizontal="left"/>
    </xf>
    <xf numFmtId="49" fontId="6" fillId="2" borderId="0" xfId="0" applyNumberFormat="1" applyFont="1" applyFill="1" applyBorder="1" applyAlignment="1">
      <alignment horizontal="right" vertical="center"/>
    </xf>
    <xf numFmtId="31" fontId="6" fillId="2" borderId="0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NumberFormat="1" applyFont="1" applyFill="1" applyBorder="1" applyAlignment="1" applyProtection="1">
      <alignment horizontal="left" vertical="center" wrapText="1"/>
      <protection locked="0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2" xfId="0" applyNumberFormat="1" applyFont="1" applyFill="1" applyBorder="1" applyAlignment="1" applyProtection="1">
      <alignment horizontal="center" vertical="center"/>
      <protection locked="0"/>
    </xf>
    <xf numFmtId="49" fontId="2" fillId="2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1" xfId="50" applyNumberFormat="1" applyFont="1" applyFill="1" applyBorder="1" applyAlignment="1">
      <alignment horizontal="justify" vertical="center"/>
    </xf>
    <xf numFmtId="0" fontId="2" fillId="0" borderId="1" xfId="52" applyNumberFormat="1" applyFont="1" applyFill="1" applyBorder="1" applyAlignment="1">
      <alignment horizontal="justify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vertical="center"/>
    </xf>
    <xf numFmtId="0" fontId="2" fillId="0" borderId="1" xfId="53" applyNumberFormat="1" applyFont="1" applyFill="1" applyBorder="1" applyAlignment="1">
      <alignment horizontal="justify" vertical="center"/>
    </xf>
    <xf numFmtId="0" fontId="2" fillId="0" borderId="1" xfId="54" applyNumberFormat="1" applyFont="1" applyFill="1" applyBorder="1" applyAlignment="1">
      <alignment horizontal="justify" vertical="center"/>
    </xf>
    <xf numFmtId="0" fontId="2" fillId="0" borderId="1" xfId="54" applyNumberFormat="1" applyFont="1" applyFill="1" applyBorder="1" applyAlignment="1">
      <alignment horizontal="justify" vertical="center" wrapText="1"/>
    </xf>
    <xf numFmtId="0" fontId="2" fillId="0" borderId="1" xfId="55" applyNumberFormat="1" applyFont="1" applyFill="1" applyBorder="1" applyAlignment="1">
      <alignment horizontal="justify" vertical="center"/>
    </xf>
    <xf numFmtId="0" fontId="2" fillId="0" borderId="1" xfId="51" applyNumberFormat="1" applyFont="1" applyFill="1" applyBorder="1" applyAlignment="1">
      <alignment horizontal="justify" vertical="center"/>
    </xf>
    <xf numFmtId="0" fontId="2" fillId="0" borderId="1" xfId="49" applyNumberFormat="1" applyFont="1" applyFill="1" applyBorder="1" applyAlignment="1">
      <alignment horizontal="justify" vertical="center"/>
    </xf>
    <xf numFmtId="49" fontId="6" fillId="2" borderId="0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14" fontId="6" fillId="2" borderId="0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left" vertical="center" wrapText="1"/>
    </xf>
    <xf numFmtId="49" fontId="5" fillId="2" borderId="0" xfId="0" applyNumberFormat="1" applyFont="1" applyFill="1" applyBorder="1" applyAlignment="1">
      <alignment horizontal="left" vertical="center" wrapText="1"/>
    </xf>
    <xf numFmtId="49" fontId="1" fillId="3" borderId="6" xfId="0" applyNumberFormat="1" applyFont="1" applyFill="1" applyBorder="1" applyAlignment="1">
      <alignment horizontal="left" vertical="center" wrapText="1"/>
    </xf>
    <xf numFmtId="0" fontId="1" fillId="3" borderId="7" xfId="0" applyNumberFormat="1" applyFont="1" applyFill="1" applyBorder="1" applyAlignment="1">
      <alignment horizontal="center" vertical="center"/>
    </xf>
    <xf numFmtId="0" fontId="1" fillId="3" borderId="8" xfId="0" applyNumberFormat="1" applyFont="1" applyFill="1" applyBorder="1" applyAlignment="1">
      <alignment horizontal="center" vertical="center"/>
    </xf>
    <xf numFmtId="49" fontId="1" fillId="0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horizontal="center" vertical="center" wrapText="1"/>
    </xf>
    <xf numFmtId="9" fontId="2" fillId="0" borderId="1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1" fillId="0" borderId="11" xfId="0" applyNumberFormat="1" applyFont="1" applyFill="1" applyBorder="1" applyAlignment="1">
      <alignment horizontal="center" vertical="center" wrapText="1"/>
    </xf>
    <xf numFmtId="0" fontId="2" fillId="0" borderId="12" xfId="0" applyNumberFormat="1" applyFont="1" applyFill="1" applyBorder="1" applyAlignment="1">
      <alignment horizontal="center" vertical="center"/>
    </xf>
    <xf numFmtId="9" fontId="2" fillId="0" borderId="13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left"/>
    </xf>
    <xf numFmtId="0" fontId="6" fillId="2" borderId="0" xfId="0" applyNumberFormat="1" applyFont="1" applyFill="1" applyBorder="1" applyAlignment="1"/>
    <xf numFmtId="49" fontId="2" fillId="2" borderId="0" xfId="0" applyNumberFormat="1" applyFont="1" applyFill="1" applyBorder="1" applyAlignment="1">
      <alignment wrapText="1"/>
    </xf>
    <xf numFmtId="9" fontId="2" fillId="0" borderId="0" xfId="0" applyNumberFormat="1" applyFont="1" applyFill="1" applyBorder="1" applyAlignment="1"/>
    <xf numFmtId="49" fontId="1" fillId="0" borderId="14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9" fontId="2" fillId="0" borderId="8" xfId="0" applyNumberFormat="1" applyFont="1" applyFill="1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需求跟踪矩阵及追溯表" xfId="49"/>
    <cellStyle name="常规_需求跟踪矩阵及追溯表_2" xfId="50"/>
    <cellStyle name="常规_需求跟踪矩阵及追溯表_3" xfId="51"/>
    <cellStyle name="常规_需求跟踪矩阵及追溯表_4" xfId="52"/>
    <cellStyle name="常规_需求跟踪矩阵及追溯表_5" xfId="53"/>
    <cellStyle name="常规_需求跟踪矩阵及追溯表_7" xfId="54"/>
    <cellStyle name="常规_需求跟踪矩阵及追溯表_8" xfId="55"/>
  </cellStyles>
  <tableStyles count="0" defaultTableStyle="TableStyleMedium2" defaultPivotStyle="PivotStyleLight16"/>
  <colors>
    <mruColors>
      <color rgb="001D0DF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>
              <a:defRPr lang="zh-CN" sz="1200" b="1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lang="zh-CN" altLang="zh-CN"/>
              <a:t>需求变更类型</a:t>
            </a:r>
            <a:endParaRPr lang="zh-CN" altLang="zh-CN"/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开发环境需求2!$A$111:$A$114</c:f>
              <c:strCache>
                <c:ptCount val="4"/>
                <c:pt idx="0" c:formatCode="@">
                  <c:v>原有需求</c:v>
                </c:pt>
                <c:pt idx="1" c:formatCode="@">
                  <c:v>新增需求</c:v>
                </c:pt>
                <c:pt idx="2" c:formatCode="@">
                  <c:v>修改需求</c:v>
                </c:pt>
                <c:pt idx="3" c:formatCode="@">
                  <c:v>删除需求</c:v>
                </c:pt>
              </c:strCache>
            </c:strRef>
          </c:cat>
          <c:val>
            <c:numRef>
              <c:f>开发环境需求2!$B$111:$B$114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elete val="1"/>
          </c:dLbls>
          <c:cat>
            <c:strRef>
              <c:f>开发环境需求2!$A$111:$A$114</c:f>
              <c:strCache>
                <c:ptCount val="4"/>
                <c:pt idx="0" c:formatCode="@">
                  <c:v>原有需求</c:v>
                </c:pt>
                <c:pt idx="1" c:formatCode="@">
                  <c:v>新增需求</c:v>
                </c:pt>
                <c:pt idx="2" c:formatCode="@">
                  <c:v>修改需求</c:v>
                </c:pt>
                <c:pt idx="3" c:formatCode="@">
                  <c:v>删除需求</c:v>
                </c:pt>
              </c:strCache>
            </c:strRef>
          </c:cat>
          <c:val>
            <c:numRef>
              <c:f>开发环境需求2!$C$111:$C$114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5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5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5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5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50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efb9ce2c-d9ba-4257-9546-ed0d91a7a7e1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775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>
              <a:defRPr lang="zh-CN" sz="1200" b="1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lang="zh-CN" altLang="zh-CN"/>
              <a:t>实现计划</a:t>
            </a:r>
            <a:endParaRPr lang="zh-CN" altLang="zh-CN"/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8"/>
          <c:dPt>
            <c:idx val="0"/>
            <c:bubble3D val="0"/>
            <c:spPr>
              <a:solidFill>
                <a:srgbClr val="80C664"/>
              </a:solidFill>
              <a:ln>
                <a:noFill/>
              </a:ln>
            </c:spPr>
          </c:dPt>
          <c:dPt>
            <c:idx val="1"/>
            <c:bubble3D val="0"/>
            <c:spPr>
              <a:solidFill>
                <a:srgbClr val="72AA22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529B17"/>
              </a:solidFill>
              <a:ln>
                <a:noFill/>
              </a:ln>
            </c:spPr>
          </c:dPt>
          <c:dPt>
            <c:idx val="3"/>
            <c:bubble3D val="0"/>
            <c:spPr>
              <a:solidFill>
                <a:srgbClr val="458C00"/>
              </a:solidFill>
              <a:ln>
                <a:noFill/>
              </a:ln>
            </c:spPr>
          </c:dPt>
          <c:dPt>
            <c:idx val="4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开发环境需求2!$A$116:$A$120</c:f>
              <c:strCache>
                <c:ptCount val="5"/>
                <c:pt idx="0" c:formatCode="@">
                  <c:v>V0.1版</c:v>
                </c:pt>
                <c:pt idx="1" c:formatCode="@">
                  <c:v>V0.2版</c:v>
                </c:pt>
                <c:pt idx="2" c:formatCode="@">
                  <c:v>V0.3版</c:v>
                </c:pt>
                <c:pt idx="3" c:formatCode="@">
                  <c:v>V0.4版</c:v>
                </c:pt>
                <c:pt idx="4" c:formatCode="@">
                  <c:v>未计划</c:v>
                </c:pt>
              </c:strCache>
            </c:strRef>
          </c:cat>
          <c:val>
            <c:numRef>
              <c:f>开发环境需求2!$B$116:$B$120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rgbClr val="80C664"/>
            </a:solidFill>
            <a:ln>
              <a:noFill/>
            </a:ln>
          </c:spPr>
          <c:explosion val="8"/>
          <c:dPt>
            <c:idx val="0"/>
            <c:bubble3D val="0"/>
            <c:spPr>
              <a:solidFill>
                <a:srgbClr val="80C664"/>
              </a:solidFill>
              <a:ln>
                <a:noFill/>
              </a:ln>
            </c:spPr>
          </c:dPt>
          <c:dPt>
            <c:idx val="1"/>
            <c:bubble3D val="0"/>
            <c:spPr>
              <a:solidFill>
                <a:srgbClr val="80C664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80C664"/>
              </a:solidFill>
              <a:ln>
                <a:noFill/>
              </a:ln>
            </c:spPr>
          </c:dPt>
          <c:dPt>
            <c:idx val="3"/>
            <c:bubble3D val="0"/>
            <c:spPr>
              <a:solidFill>
                <a:srgbClr val="80C664"/>
              </a:solidFill>
              <a:ln>
                <a:noFill/>
              </a:ln>
            </c:spPr>
          </c:dPt>
          <c:dPt>
            <c:idx val="4"/>
            <c:bubble3D val="0"/>
            <c:spPr>
              <a:solidFill>
                <a:srgbClr val="80C664"/>
              </a:solidFill>
              <a:ln>
                <a:noFill/>
              </a:ln>
            </c:spPr>
          </c:dPt>
          <c:dLbls>
            <c:delete val="1"/>
          </c:dLbls>
          <c:cat>
            <c:strRef>
              <c:f>开发环境需求2!$A$116:$A$120</c:f>
              <c:strCache>
                <c:ptCount val="5"/>
                <c:pt idx="0" c:formatCode="@">
                  <c:v>V0.1版</c:v>
                </c:pt>
                <c:pt idx="1" c:formatCode="@">
                  <c:v>V0.2版</c:v>
                </c:pt>
                <c:pt idx="2" c:formatCode="@">
                  <c:v>V0.3版</c:v>
                </c:pt>
                <c:pt idx="3" c:formatCode="@">
                  <c:v>V0.4版</c:v>
                </c:pt>
                <c:pt idx="4" c:formatCode="@">
                  <c:v>未计划</c:v>
                </c:pt>
              </c:strCache>
            </c:strRef>
          </c:cat>
          <c:val>
            <c:numRef>
              <c:f>开发环境需求2!$C$116:$C$120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5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5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5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5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5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50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7e56e82-775e-43a1-b405-21dd4c802d43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765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160020</xdr:colOff>
      <xdr:row>109</xdr:row>
      <xdr:rowOff>83820</xdr:rowOff>
    </xdr:from>
    <xdr:to>
      <xdr:col>3</xdr:col>
      <xdr:colOff>3680460</xdr:colOff>
      <xdr:row>119</xdr:row>
      <xdr:rowOff>228600</xdr:rowOff>
    </xdr:to>
    <xdr:graphicFrame>
      <xdr:nvGraphicFramePr>
        <xdr:cNvPr id="94189" name="图表 6"/>
        <xdr:cNvGraphicFramePr/>
      </xdr:nvGraphicFramePr>
      <xdr:xfrm>
        <a:off x="2646045" y="33430210"/>
        <a:ext cx="3520440" cy="269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3832860</xdr:colOff>
      <xdr:row>109</xdr:row>
      <xdr:rowOff>83820</xdr:rowOff>
    </xdr:from>
    <xdr:to>
      <xdr:col>7</xdr:col>
      <xdr:colOff>342900</xdr:colOff>
      <xdr:row>119</xdr:row>
      <xdr:rowOff>228600</xdr:rowOff>
    </xdr:to>
    <xdr:graphicFrame>
      <xdr:nvGraphicFramePr>
        <xdr:cNvPr id="94190" name="图表 13"/>
        <xdr:cNvGraphicFramePr/>
      </xdr:nvGraphicFramePr>
      <xdr:xfrm>
        <a:off x="6318885" y="33430210"/>
        <a:ext cx="3958590" cy="269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171450</xdr:colOff>
      <xdr:row>103</xdr:row>
      <xdr:rowOff>161925</xdr:rowOff>
    </xdr:from>
    <xdr:to>
      <xdr:col>3</xdr:col>
      <xdr:colOff>1485900</xdr:colOff>
      <xdr:row>105</xdr:row>
      <xdr:rowOff>104775</xdr:rowOff>
    </xdr:to>
    <xdr:sp>
      <xdr:nvSpPr>
        <xdr:cNvPr id="19456" name="AutoShape 27"/>
        <xdr:cNvSpPr>
          <a:spLocks noChangeArrowheads="1"/>
        </xdr:cNvSpPr>
      </xdr:nvSpPr>
      <xdr:spPr>
        <a:xfrm>
          <a:off x="2657475" y="31704280"/>
          <a:ext cx="1314450" cy="576580"/>
        </a:xfrm>
        <a:prstGeom prst="homePlate">
          <a:avLst>
            <a:gd name="adj" fmla="val 57479"/>
          </a:avLst>
        </a:prstGeom>
        <a:solidFill>
          <a:srgbClr val="FFFFFF"/>
        </a:solidFill>
        <a:ln w="9525">
          <a:solidFill>
            <a:srgbClr val="000000"/>
          </a:solidFill>
          <a:miter lim="200000"/>
        </a:ln>
      </xdr:spPr>
      <xdr:txBody>
        <a:bodyPr vertOverflow="clip" wrap="square" lIns="28575" tIns="17780" rIns="0" bIns="0" anchor="t" upright="1"/>
        <a:lstStyle/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V0.1版：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2012年国庆节前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系统框架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3</xdr:col>
      <xdr:colOff>1238250</xdr:colOff>
      <xdr:row>103</xdr:row>
      <xdr:rowOff>161925</xdr:rowOff>
    </xdr:from>
    <xdr:to>
      <xdr:col>3</xdr:col>
      <xdr:colOff>3219450</xdr:colOff>
      <xdr:row>105</xdr:row>
      <xdr:rowOff>104775</xdr:rowOff>
    </xdr:to>
    <xdr:sp>
      <xdr:nvSpPr>
        <xdr:cNvPr id="19457" name="AutoShape 29"/>
        <xdr:cNvSpPr>
          <a:spLocks noChangeArrowheads="1"/>
        </xdr:cNvSpPr>
      </xdr:nvSpPr>
      <xdr:spPr>
        <a:xfrm>
          <a:off x="3724275" y="31704280"/>
          <a:ext cx="1981200" cy="576580"/>
        </a:xfrm>
        <a:prstGeom prst="chevron">
          <a:avLst>
            <a:gd name="adj" fmla="val 86667"/>
          </a:avLst>
        </a:prstGeom>
        <a:solidFill>
          <a:srgbClr val="FFFFFF"/>
        </a:solidFill>
        <a:ln w="9525">
          <a:solidFill>
            <a:srgbClr val="000000"/>
          </a:solidFill>
          <a:miter lim="200000"/>
        </a:ln>
      </xdr:spPr>
      <xdr:txBody>
        <a:bodyPr vertOverflow="clip" wrap="square" lIns="28575" tIns="17780" rIns="0" bIns="0" anchor="t" upright="1"/>
        <a:lstStyle/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   V0.2版：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      2012年10月26日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      数据采集与保存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3</xdr:col>
      <xdr:colOff>3009900</xdr:colOff>
      <xdr:row>103</xdr:row>
      <xdr:rowOff>161925</xdr:rowOff>
    </xdr:from>
    <xdr:to>
      <xdr:col>3</xdr:col>
      <xdr:colOff>4991100</xdr:colOff>
      <xdr:row>105</xdr:row>
      <xdr:rowOff>104775</xdr:rowOff>
    </xdr:to>
    <xdr:sp>
      <xdr:nvSpPr>
        <xdr:cNvPr id="19458" name="AutoShape 31"/>
        <xdr:cNvSpPr>
          <a:spLocks noChangeArrowheads="1"/>
        </xdr:cNvSpPr>
      </xdr:nvSpPr>
      <xdr:spPr>
        <a:xfrm>
          <a:off x="5495925" y="31704280"/>
          <a:ext cx="1981200" cy="576580"/>
        </a:xfrm>
        <a:prstGeom prst="chevron">
          <a:avLst>
            <a:gd name="adj" fmla="val 86667"/>
          </a:avLst>
        </a:prstGeom>
        <a:solidFill>
          <a:srgbClr val="FFFFFF"/>
        </a:solidFill>
        <a:ln w="9525">
          <a:solidFill>
            <a:srgbClr val="000000"/>
          </a:solidFill>
          <a:miter lim="200000"/>
        </a:ln>
      </xdr:spPr>
      <xdr:txBody>
        <a:bodyPr vertOverflow="clip" wrap="square" lIns="28575" tIns="17780" rIns="0" bIns="0" anchor="t" upright="1"/>
        <a:lstStyle/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   V0.3版：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      2012年11月16日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      电能质量分析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390525</xdr:colOff>
      <xdr:row>106</xdr:row>
      <xdr:rowOff>190500</xdr:rowOff>
    </xdr:from>
    <xdr:to>
      <xdr:col>7</xdr:col>
      <xdr:colOff>638175</xdr:colOff>
      <xdr:row>108</xdr:row>
      <xdr:rowOff>304800</xdr:rowOff>
    </xdr:to>
    <xdr:sp>
      <xdr:nvSpPr>
        <xdr:cNvPr id="19459" name="AutoShape 36"/>
        <xdr:cNvSpPr>
          <a:spLocks noChangeArrowheads="1"/>
        </xdr:cNvSpPr>
      </xdr:nvSpPr>
      <xdr:spPr>
        <a:xfrm>
          <a:off x="8953500" y="32683450"/>
          <a:ext cx="1619250" cy="598170"/>
        </a:xfrm>
        <a:prstGeom prst="chevron">
          <a:avLst>
            <a:gd name="adj" fmla="val 68536"/>
          </a:avLst>
        </a:prstGeom>
        <a:solidFill>
          <a:srgbClr val="FFFFFF"/>
        </a:solidFill>
        <a:ln w="9525">
          <a:solidFill>
            <a:srgbClr val="000000"/>
          </a:solidFill>
          <a:miter lim="200000"/>
        </a:ln>
      </xdr:spPr>
      <xdr:txBody>
        <a:bodyPr vertOverflow="clip" wrap="square" lIns="28575" tIns="17780" rIns="0" bIns="17780" anchor="ctr" upright="1"/>
        <a:lstStyle/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   后续版本？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3</xdr:col>
      <xdr:colOff>4610100</xdr:colOff>
      <xdr:row>103</xdr:row>
      <xdr:rowOff>161925</xdr:rowOff>
    </xdr:from>
    <xdr:to>
      <xdr:col>5</xdr:col>
      <xdr:colOff>600075</xdr:colOff>
      <xdr:row>105</xdr:row>
      <xdr:rowOff>104775</xdr:rowOff>
    </xdr:to>
    <xdr:sp>
      <xdr:nvSpPr>
        <xdr:cNvPr id="19460" name="燕尾形7"/>
        <xdr:cNvSpPr>
          <a:spLocks noChangeArrowheads="1"/>
        </xdr:cNvSpPr>
      </xdr:nvSpPr>
      <xdr:spPr>
        <a:xfrm>
          <a:off x="7096125" y="31704280"/>
          <a:ext cx="2066925" cy="576580"/>
        </a:xfrm>
        <a:prstGeom prst="chevron">
          <a:avLst>
            <a:gd name="adj" fmla="val 90417"/>
          </a:avLst>
        </a:prstGeom>
        <a:solidFill>
          <a:srgbClr val="FFFFFF"/>
        </a:solidFill>
        <a:ln w="9525">
          <a:solidFill>
            <a:srgbClr val="000000"/>
          </a:solidFill>
          <a:miter lim="200000"/>
        </a:ln>
      </xdr:spPr>
      <xdr:txBody>
        <a:bodyPr vertOverflow="clip" wrap="square" lIns="28575" tIns="17780" rIns="0" bIns="0" anchor="t" upright="1"/>
        <a:lstStyle/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   V0.4版：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       2012年11月30日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           报表、完善系统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"/>
  <sheetViews>
    <sheetView tabSelected="1" zoomScale="115" zoomScaleNormal="115" workbookViewId="0">
      <selection activeCell="J4" sqref="J4"/>
    </sheetView>
  </sheetViews>
  <sheetFormatPr defaultColWidth="9" defaultRowHeight="16.5"/>
  <cols>
    <col min="1" max="1" width="8.125" style="78" customWidth="1"/>
    <col min="2" max="2" width="22.7083333333333" style="78" customWidth="1"/>
    <col min="3" max="3" width="93.125" style="78" customWidth="1"/>
    <col min="4" max="4" width="13.375" style="79" customWidth="1"/>
    <col min="5" max="5" width="7.875" style="78" customWidth="1"/>
    <col min="6" max="7" width="5.75" style="78" customWidth="1"/>
    <col min="8" max="8" width="7.375" style="78" customWidth="1"/>
    <col min="9" max="9" width="5.75" style="78" customWidth="1"/>
    <col min="10" max="16384" width="9" style="78"/>
  </cols>
  <sheetData>
    <row r="1" spans="1:14">
      <c r="A1" s="80" t="s">
        <v>0</v>
      </c>
      <c r="B1" s="80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</row>
    <row r="2" ht="99" spans="1:14">
      <c r="A2" s="82" t="s">
        <v>9</v>
      </c>
      <c r="B2" s="82" t="s">
        <v>10</v>
      </c>
      <c r="C2" s="83" t="s">
        <v>11</v>
      </c>
      <c r="D2" s="82"/>
      <c r="E2" s="82"/>
      <c r="F2" s="82"/>
      <c r="G2" s="82"/>
      <c r="H2" s="82"/>
      <c r="I2" s="82"/>
    </row>
    <row r="3" ht="33" spans="1:14">
      <c r="A3" s="82" t="s">
        <v>12</v>
      </c>
      <c r="B3" s="82" t="s">
        <v>13</v>
      </c>
      <c r="C3" s="83" t="s">
        <v>14</v>
      </c>
      <c r="D3" s="82"/>
      <c r="E3" s="82"/>
      <c r="F3" s="82"/>
      <c r="G3" s="82"/>
      <c r="H3" s="82"/>
      <c r="I3" s="82"/>
    </row>
    <row r="4" ht="66" spans="1:14">
      <c r="A4" s="82" t="s">
        <v>15</v>
      </c>
      <c r="B4" s="83" t="s">
        <v>16</v>
      </c>
      <c r="C4" s="83" t="s">
        <v>17</v>
      </c>
      <c r="D4" s="82"/>
      <c r="E4" s="82"/>
      <c r="F4" s="82"/>
      <c r="G4" s="82"/>
      <c r="H4" s="82"/>
      <c r="I4" s="82"/>
    </row>
    <row r="5" ht="99" spans="1:14">
      <c r="A5" s="82" t="s">
        <v>18</v>
      </c>
      <c r="B5" s="82" t="s">
        <v>19</v>
      </c>
      <c r="C5" s="83" t="s">
        <v>20</v>
      </c>
      <c r="D5" s="82"/>
      <c r="E5" s="82"/>
      <c r="F5" s="82"/>
      <c r="G5" s="82"/>
      <c r="H5" s="82"/>
      <c r="I5" s="82"/>
    </row>
    <row r="6" spans="1:14">
      <c r="A6" s="82" t="s">
        <v>21</v>
      </c>
      <c r="B6" s="82" t="s">
        <v>22</v>
      </c>
      <c r="C6" s="83" t="s">
        <v>23</v>
      </c>
      <c r="D6" s="82"/>
      <c r="E6" s="82"/>
      <c r="F6" s="82"/>
      <c r="G6" s="82"/>
      <c r="H6" s="82"/>
      <c r="I6" s="82"/>
      <c r="J6" s="84"/>
      <c r="K6" s="84"/>
      <c r="L6" s="84"/>
      <c r="M6" s="84"/>
      <c r="N6" s="84"/>
    </row>
    <row r="7" spans="1:14">
      <c r="A7" s="82" t="s">
        <v>24</v>
      </c>
      <c r="B7" s="82" t="s">
        <v>25</v>
      </c>
      <c r="C7" s="83" t="s">
        <v>26</v>
      </c>
      <c r="D7" s="82"/>
      <c r="E7" s="82"/>
      <c r="F7" s="82"/>
      <c r="G7" s="82"/>
      <c r="H7" s="82"/>
      <c r="I7" s="82"/>
      <c r="J7" s="84"/>
      <c r="K7" s="84"/>
      <c r="L7" s="84"/>
      <c r="M7" s="84"/>
      <c r="N7" s="84"/>
    </row>
    <row r="8" spans="1:14">
      <c r="A8" s="82" t="s">
        <v>27</v>
      </c>
      <c r="B8" s="82" t="s">
        <v>28</v>
      </c>
      <c r="C8" s="82" t="s">
        <v>29</v>
      </c>
      <c r="D8" s="82"/>
      <c r="E8" s="82"/>
      <c r="F8" s="82"/>
      <c r="G8" s="82"/>
      <c r="H8" s="82"/>
      <c r="I8" s="82"/>
      <c r="J8" s="84"/>
      <c r="K8" s="84"/>
      <c r="L8" s="84"/>
      <c r="M8" s="84"/>
      <c r="N8" s="84"/>
    </row>
    <row r="9" spans="1:14">
      <c r="A9" s="82" t="s">
        <v>30</v>
      </c>
      <c r="B9" s="82" t="s">
        <v>31</v>
      </c>
      <c r="C9" s="82" t="s">
        <v>29</v>
      </c>
      <c r="D9" s="82"/>
      <c r="E9" s="82"/>
      <c r="F9" s="82"/>
      <c r="G9" s="82"/>
      <c r="H9" s="82"/>
      <c r="I9" s="82"/>
      <c r="J9" s="84"/>
      <c r="K9" s="84"/>
      <c r="L9" s="84"/>
      <c r="M9" s="84"/>
      <c r="N9" s="84"/>
    </row>
    <row r="10" spans="1:14">
      <c r="A10" s="82"/>
      <c r="B10" s="82"/>
      <c r="C10" s="82"/>
      <c r="D10" s="82"/>
      <c r="E10" s="82"/>
      <c r="F10" s="82"/>
      <c r="G10" s="82"/>
      <c r="H10" s="82"/>
      <c r="I10" s="82"/>
      <c r="J10" s="84"/>
      <c r="K10" s="84"/>
      <c r="L10" s="84"/>
      <c r="M10" s="84"/>
      <c r="N10" s="84"/>
    </row>
    <row r="11" spans="1:14">
      <c r="A11" s="82"/>
      <c r="B11" s="82"/>
      <c r="C11" s="82"/>
      <c r="D11" s="82"/>
      <c r="E11" s="82"/>
      <c r="F11" s="82"/>
      <c r="G11" s="82"/>
      <c r="H11" s="82"/>
      <c r="I11" s="82"/>
      <c r="J11" s="84"/>
      <c r="K11" s="84"/>
      <c r="L11" s="84"/>
      <c r="M11" s="84"/>
      <c r="N11" s="84"/>
    </row>
    <row r="12" spans="1:14">
      <c r="A12" s="82"/>
      <c r="B12" s="82"/>
      <c r="C12" s="82"/>
      <c r="D12" s="82"/>
      <c r="E12" s="82"/>
      <c r="F12" s="82"/>
      <c r="G12" s="82"/>
      <c r="H12" s="82"/>
      <c r="I12" s="82"/>
    </row>
    <row r="13" spans="1:14">
      <c r="A13" s="82"/>
      <c r="B13" s="82"/>
      <c r="C13" s="82"/>
      <c r="D13" s="82"/>
      <c r="E13" s="82"/>
      <c r="F13" s="82"/>
      <c r="G13" s="82"/>
      <c r="H13" s="82"/>
      <c r="I13" s="82"/>
    </row>
    <row r="14" spans="1:14">
      <c r="A14" s="85"/>
      <c r="B14" s="85"/>
      <c r="C14" s="85"/>
      <c r="D14" s="85"/>
      <c r="E14" s="85"/>
      <c r="F14" s="85"/>
      <c r="G14" s="85"/>
      <c r="H14" s="85"/>
      <c r="I14" s="85"/>
    </row>
    <row r="15" spans="1:14">
      <c r="A15" s="85"/>
      <c r="B15" s="85"/>
      <c r="D15" s="85"/>
      <c r="E15" s="85"/>
      <c r="F15" s="85"/>
      <c r="G15" s="85"/>
      <c r="H15" s="85"/>
      <c r="I15" s="85"/>
    </row>
    <row r="16" spans="1:14">
      <c r="A16" s="85"/>
      <c r="B16" s="85"/>
      <c r="C16" s="85"/>
      <c r="D16" s="85"/>
      <c r="E16" s="85"/>
      <c r="F16" s="85"/>
      <c r="G16" s="85"/>
      <c r="H16" s="85"/>
      <c r="I16" s="85"/>
    </row>
    <row r="17" spans="1:9">
      <c r="A17" s="85"/>
      <c r="B17" s="85"/>
      <c r="C17" s="85"/>
      <c r="D17" s="85"/>
      <c r="E17" s="85"/>
      <c r="F17" s="85"/>
      <c r="G17" s="85"/>
      <c r="H17" s="85"/>
      <c r="I17" s="85"/>
    </row>
    <row r="18" spans="1:9">
      <c r="A18" s="85"/>
      <c r="B18" s="85"/>
      <c r="C18" s="85"/>
      <c r="D18" s="85"/>
      <c r="E18" s="85"/>
      <c r="F18" s="85"/>
      <c r="G18" s="85"/>
      <c r="H18" s="85"/>
      <c r="I18" s="85"/>
    </row>
    <row r="19" spans="1:9">
      <c r="A19" s="85"/>
      <c r="B19" s="85"/>
      <c r="C19" s="85"/>
      <c r="D19" s="85"/>
      <c r="E19" s="85"/>
      <c r="F19" s="85"/>
      <c r="G19" s="85"/>
      <c r="H19" s="85"/>
      <c r="I19" s="85"/>
    </row>
    <row r="20" spans="1:9">
      <c r="A20" s="85"/>
      <c r="B20" s="85"/>
      <c r="C20" s="85"/>
      <c r="D20" s="85"/>
      <c r="E20" s="85"/>
      <c r="F20" s="85"/>
      <c r="G20" s="85"/>
      <c r="H20" s="85"/>
      <c r="I20" s="85"/>
    </row>
    <row r="21" spans="1:9">
      <c r="A21" s="85"/>
      <c r="B21" s="85"/>
      <c r="C21" s="85"/>
      <c r="D21" s="85"/>
      <c r="E21" s="85"/>
      <c r="F21" s="85"/>
      <c r="G21" s="85"/>
      <c r="H21" s="85"/>
      <c r="I21" s="85"/>
    </row>
    <row r="22" spans="1:9">
      <c r="A22" s="85"/>
      <c r="B22" s="85"/>
      <c r="C22" s="85"/>
      <c r="D22" s="85"/>
      <c r="E22" s="85"/>
      <c r="F22" s="85"/>
      <c r="G22" s="85"/>
      <c r="H22" s="85"/>
      <c r="I22" s="85"/>
    </row>
    <row r="23" spans="1:9">
      <c r="A23" s="85"/>
      <c r="B23" s="85"/>
      <c r="C23" s="85"/>
      <c r="D23" s="85"/>
      <c r="E23" s="85"/>
      <c r="F23" s="85"/>
      <c r="G23" s="85"/>
      <c r="H23" s="85"/>
      <c r="I23" s="85"/>
    </row>
    <row r="24" spans="1:9">
      <c r="A24" s="85"/>
      <c r="B24" s="85"/>
      <c r="C24" s="85"/>
      <c r="D24" s="85"/>
      <c r="E24" s="85"/>
      <c r="F24" s="85"/>
      <c r="G24" s="85"/>
      <c r="H24" s="85"/>
      <c r="I24" s="85"/>
    </row>
    <row r="25" spans="1:9">
      <c r="A25" s="85"/>
      <c r="B25" s="85"/>
      <c r="C25" s="85"/>
      <c r="D25" s="85"/>
      <c r="E25" s="85"/>
      <c r="F25" s="85"/>
      <c r="G25" s="85"/>
      <c r="H25" s="85"/>
      <c r="I25" s="85"/>
    </row>
    <row r="26" spans="1:9">
      <c r="A26" s="85"/>
      <c r="B26" s="85"/>
      <c r="C26" s="85"/>
      <c r="D26" s="85"/>
      <c r="E26" s="85"/>
      <c r="F26" s="85"/>
      <c r="G26" s="85"/>
      <c r="H26" s="85"/>
      <c r="I26" s="85"/>
    </row>
    <row r="27" spans="1:9">
      <c r="A27" s="85"/>
      <c r="B27" s="85"/>
      <c r="C27" s="85"/>
      <c r="D27" s="85"/>
      <c r="E27" s="85"/>
      <c r="F27" s="85"/>
      <c r="G27" s="85"/>
      <c r="H27" s="85"/>
      <c r="I27" s="85"/>
    </row>
    <row r="28" spans="1:9">
      <c r="A28" s="85"/>
      <c r="B28" s="85"/>
      <c r="C28" s="85"/>
      <c r="D28" s="85"/>
      <c r="E28" s="85"/>
      <c r="F28" s="85"/>
      <c r="G28" s="85"/>
      <c r="H28" s="85"/>
      <c r="I28" s="85"/>
    </row>
    <row r="29" spans="1:9">
      <c r="A29" s="85"/>
      <c r="B29" s="85"/>
      <c r="C29" s="85"/>
      <c r="D29" s="85"/>
      <c r="E29" s="85"/>
      <c r="F29" s="85"/>
      <c r="G29" s="85"/>
      <c r="H29" s="85"/>
      <c r="I29" s="85"/>
    </row>
    <row r="30" spans="1:9">
      <c r="A30" s="85"/>
      <c r="B30" s="85"/>
      <c r="C30" s="85"/>
      <c r="D30" s="85"/>
      <c r="E30" s="85"/>
      <c r="F30" s="85"/>
      <c r="G30" s="85"/>
      <c r="H30" s="85"/>
      <c r="I30" s="85"/>
    </row>
    <row r="31" spans="1:9">
      <c r="A31" s="85"/>
      <c r="B31" s="85"/>
      <c r="C31" s="85"/>
      <c r="D31" s="85"/>
      <c r="E31" s="85"/>
      <c r="F31" s="85"/>
      <c r="G31" s="85"/>
      <c r="H31" s="85"/>
      <c r="I31" s="85"/>
    </row>
    <row r="32" spans="1:9">
      <c r="A32" s="85"/>
      <c r="B32" s="85"/>
      <c r="C32" s="85"/>
      <c r="D32" s="85"/>
      <c r="E32" s="85"/>
      <c r="F32" s="85"/>
      <c r="G32" s="85"/>
      <c r="H32" s="85"/>
      <c r="I32" s="85"/>
    </row>
    <row r="33" spans="1:9">
      <c r="A33" s="85"/>
      <c r="B33" s="85"/>
      <c r="C33" s="85"/>
      <c r="D33" s="85"/>
      <c r="E33" s="85"/>
      <c r="F33" s="85"/>
      <c r="G33" s="85"/>
      <c r="H33" s="85"/>
      <c r="I33" s="85"/>
    </row>
    <row r="34" spans="1:9">
      <c r="A34" s="85"/>
      <c r="B34" s="85"/>
      <c r="C34" s="85"/>
      <c r="D34" s="85"/>
      <c r="E34" s="85"/>
      <c r="F34" s="85"/>
      <c r="G34" s="85"/>
      <c r="H34" s="85"/>
      <c r="I34" s="85"/>
    </row>
    <row r="35" spans="1:9">
      <c r="A35" s="85"/>
      <c r="B35" s="85"/>
      <c r="C35" s="85"/>
      <c r="D35" s="85"/>
      <c r="E35" s="85"/>
      <c r="F35" s="85"/>
      <c r="G35" s="85"/>
      <c r="H35" s="85"/>
      <c r="I35" s="85"/>
    </row>
    <row r="36" spans="1:9">
      <c r="A36" s="85"/>
      <c r="B36" s="85"/>
      <c r="C36" s="85"/>
      <c r="D36" s="85"/>
      <c r="E36" s="85"/>
      <c r="F36" s="85"/>
      <c r="G36" s="85"/>
      <c r="H36" s="85"/>
      <c r="I36" s="85"/>
    </row>
    <row r="37" spans="1:9">
      <c r="A37" s="85"/>
      <c r="B37" s="85"/>
      <c r="C37" s="85"/>
      <c r="D37" s="85"/>
      <c r="E37" s="85"/>
      <c r="F37" s="85"/>
      <c r="G37" s="85"/>
      <c r="H37" s="85"/>
      <c r="I37" s="85"/>
    </row>
    <row r="38" spans="1:9">
      <c r="A38" s="85"/>
      <c r="B38" s="85"/>
      <c r="C38" s="85"/>
      <c r="D38" s="85"/>
      <c r="E38" s="85"/>
      <c r="F38" s="85"/>
      <c r="G38" s="85"/>
      <c r="H38" s="85"/>
      <c r="I38" s="85"/>
    </row>
    <row r="39" spans="1:9">
      <c r="A39" s="85"/>
      <c r="B39" s="85"/>
      <c r="C39" s="85"/>
      <c r="D39" s="85"/>
      <c r="E39" s="85"/>
      <c r="F39" s="85"/>
      <c r="G39" s="85"/>
      <c r="H39" s="85"/>
      <c r="I39" s="85"/>
    </row>
    <row r="40" spans="1:9">
      <c r="A40" s="85"/>
      <c r="B40" s="85"/>
      <c r="C40" s="85"/>
      <c r="D40" s="85"/>
      <c r="E40" s="85"/>
      <c r="F40" s="85"/>
      <c r="G40" s="85"/>
      <c r="H40" s="85"/>
      <c r="I40" s="85"/>
    </row>
    <row r="41" spans="1:9">
      <c r="A41" s="85"/>
      <c r="B41" s="85"/>
      <c r="C41" s="85"/>
      <c r="D41" s="85"/>
      <c r="E41" s="85"/>
      <c r="F41" s="85"/>
      <c r="G41" s="85"/>
      <c r="H41" s="85"/>
      <c r="I41" s="85"/>
    </row>
    <row r="42" spans="1:9">
      <c r="A42" s="85"/>
      <c r="B42" s="85"/>
      <c r="C42" s="85"/>
      <c r="D42" s="85"/>
      <c r="E42" s="85"/>
      <c r="F42" s="85"/>
      <c r="G42" s="85"/>
      <c r="H42" s="85"/>
      <c r="I42" s="85"/>
    </row>
    <row r="47" spans="1:9">
      <c r="A47" s="86"/>
    </row>
    <row r="48" spans="1:9">
      <c r="B48" s="85"/>
      <c r="C48" s="85"/>
    </row>
    <row r="49" spans="2:3">
      <c r="B49" s="85"/>
      <c r="C49" s="85"/>
    </row>
    <row r="50" spans="2:3">
      <c r="B50" s="85"/>
      <c r="C50" s="85"/>
    </row>
    <row r="51" spans="2:3">
      <c r="B51" s="85"/>
      <c r="C51" s="85"/>
    </row>
    <row r="52" spans="2:3">
      <c r="B52" s="85"/>
      <c r="C52" s="85"/>
    </row>
    <row r="53" spans="2:3">
      <c r="B53" s="85"/>
      <c r="C53" s="85"/>
    </row>
    <row r="54" spans="2:3">
      <c r="B54" s="85"/>
      <c r="C54" s="85"/>
    </row>
    <row r="55" spans="2:3">
      <c r="B55" s="85"/>
      <c r="C55" s="85"/>
    </row>
    <row r="56" spans="2:3">
      <c r="B56" s="85"/>
      <c r="C56" s="85"/>
    </row>
  </sheetData>
  <printOptions horizontalCentered="1"/>
  <pageMargins left="0.313888888888889" right="0.313888888888889" top="0.354166666666667" bottom="0.354166666666667" header="0.313888888888889" footer="0.313888888888889"/>
  <pageSetup paperSize="9" scale="8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V120"/>
  <sheetViews>
    <sheetView topLeftCell="A47" workbookViewId="0">
      <selection activeCell="B10" sqref="B10:D10"/>
    </sheetView>
  </sheetViews>
  <sheetFormatPr defaultColWidth="9" defaultRowHeight="20.1" customHeight="1"/>
  <cols>
    <col min="1" max="1" width="9.625" style="8" customWidth="1"/>
    <col min="2" max="2" width="13.625" style="9" customWidth="1"/>
    <col min="3" max="3" width="9.375" style="9" customWidth="1"/>
    <col min="4" max="4" width="70.625" style="10" customWidth="1"/>
    <col min="5" max="5" width="9.125" style="9" customWidth="1"/>
    <col min="6" max="6" width="10.375" style="9" customWidth="1"/>
    <col min="7" max="7" width="7.625" style="9" customWidth="1"/>
    <col min="8" max="8" width="9.375" style="11" customWidth="1"/>
    <col min="9" max="242" width="9" style="9" customWidth="1"/>
    <col min="243" max="16384" width="9" style="12"/>
  </cols>
  <sheetData>
    <row r="1" s="1" customFormat="1" ht="30" customHeight="1" spans="1:243">
      <c r="A1" s="13" t="s">
        <v>32</v>
      </c>
      <c r="B1" s="14"/>
      <c r="C1" s="14"/>
      <c r="D1" s="14"/>
      <c r="E1" s="14"/>
      <c r="F1" s="14"/>
      <c r="G1" s="14"/>
      <c r="H1" s="14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</row>
    <row r="2" ht="24.95" customHeight="1" spans="1:243">
      <c r="A2" s="12"/>
      <c r="B2" s="16" t="s">
        <v>33</v>
      </c>
      <c r="C2" s="17"/>
      <c r="D2" s="17" t="s">
        <v>34</v>
      </c>
      <c r="E2" s="18"/>
      <c r="F2" s="19" t="s">
        <v>35</v>
      </c>
      <c r="G2" s="20">
        <v>41150</v>
      </c>
      <c r="H2" s="20"/>
    </row>
    <row r="3" s="2" customFormat="1" ht="24.95" customHeight="1" spans="1:243">
      <c r="A3" s="21" t="s">
        <v>36</v>
      </c>
      <c r="B3" s="22" t="s">
        <v>1</v>
      </c>
      <c r="C3" s="22" t="s">
        <v>0</v>
      </c>
      <c r="D3" s="22" t="s">
        <v>2</v>
      </c>
      <c r="E3" s="22" t="s">
        <v>37</v>
      </c>
      <c r="F3" s="22" t="s">
        <v>4</v>
      </c>
      <c r="G3" s="22" t="s">
        <v>5</v>
      </c>
      <c r="H3" s="22" t="s">
        <v>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7"/>
    </row>
    <row r="4" s="3" customFormat="1" ht="24.95" customHeight="1" spans="1:243">
      <c r="A4" s="23" t="s">
        <v>38</v>
      </c>
      <c r="B4" s="24" t="s">
        <v>39</v>
      </c>
      <c r="C4" s="25"/>
      <c r="D4" s="26" t="s">
        <v>40</v>
      </c>
      <c r="E4" s="24"/>
      <c r="F4" s="24"/>
      <c r="G4" s="24"/>
      <c r="H4" s="27"/>
      <c r="I4" s="3" t="s">
        <v>41</v>
      </c>
      <c r="II4" s="7"/>
    </row>
    <row r="5" s="3" customFormat="1" ht="24.95" customHeight="1" spans="1:243">
      <c r="A5" s="28"/>
      <c r="B5" s="24" t="s">
        <v>42</v>
      </c>
      <c r="C5" s="25"/>
      <c r="D5" s="26" t="s">
        <v>43</v>
      </c>
      <c r="E5" s="24"/>
      <c r="F5" s="24"/>
      <c r="G5" s="24"/>
      <c r="H5" s="27"/>
      <c r="II5" s="7"/>
    </row>
    <row r="6" s="3" customFormat="1" ht="24.95" customHeight="1" spans="1:243">
      <c r="A6" s="28"/>
      <c r="B6" s="24" t="s">
        <v>44</v>
      </c>
      <c r="C6" s="25"/>
      <c r="D6" s="26" t="s">
        <v>45</v>
      </c>
      <c r="E6" s="24"/>
      <c r="F6" s="24"/>
      <c r="G6" s="24"/>
      <c r="H6" s="27"/>
      <c r="II6" s="7"/>
    </row>
    <row r="7" s="3" customFormat="1" ht="24.95" customHeight="1" spans="1:243">
      <c r="A7" s="28"/>
      <c r="B7" s="24" t="s">
        <v>46</v>
      </c>
      <c r="C7" s="25"/>
      <c r="D7" s="26" t="s">
        <v>47</v>
      </c>
      <c r="E7" s="24"/>
      <c r="F7" s="24"/>
      <c r="G7" s="24"/>
      <c r="H7" s="27"/>
      <c r="II7" s="7"/>
    </row>
    <row r="8" s="4" customFormat="1" ht="24.95" customHeight="1" spans="1:243">
      <c r="A8" s="28"/>
      <c r="B8" s="29" t="s">
        <v>48</v>
      </c>
      <c r="C8" s="25"/>
      <c r="D8" s="30" t="s">
        <v>49</v>
      </c>
      <c r="E8" s="29"/>
      <c r="F8" s="29"/>
      <c r="G8" s="29"/>
      <c r="H8" s="3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7"/>
    </row>
    <row r="9" s="4" customFormat="1" ht="24.95" customHeight="1" spans="1:243">
      <c r="A9" s="28"/>
      <c r="B9" s="29" t="s">
        <v>50</v>
      </c>
      <c r="C9" s="25"/>
      <c r="D9" s="30" t="s">
        <v>51</v>
      </c>
      <c r="E9" s="29"/>
      <c r="F9" s="29"/>
      <c r="G9" s="29"/>
      <c r="H9" s="3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7"/>
    </row>
    <row r="10" s="4" customFormat="1" ht="24.95" customHeight="1" spans="1:243">
      <c r="A10" s="28"/>
      <c r="B10" s="29" t="s">
        <v>52</v>
      </c>
      <c r="C10" s="25"/>
      <c r="D10" s="30" t="s">
        <v>53</v>
      </c>
      <c r="E10" s="29"/>
      <c r="F10" s="29"/>
      <c r="G10" s="29"/>
      <c r="H10" s="31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7"/>
    </row>
    <row r="11" s="4" customFormat="1" ht="24.95" customHeight="1" spans="1:243">
      <c r="A11" s="28"/>
      <c r="B11" s="29" t="s">
        <v>54</v>
      </c>
      <c r="C11" s="25"/>
      <c r="D11" s="30" t="s">
        <v>55</v>
      </c>
      <c r="E11" s="29"/>
      <c r="F11" s="29"/>
      <c r="G11" s="29"/>
      <c r="H11" s="3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7"/>
    </row>
    <row r="12" s="4" customFormat="1" ht="24.95" customHeight="1" spans="1:243">
      <c r="A12" s="28"/>
      <c r="B12" s="29" t="s">
        <v>56</v>
      </c>
      <c r="C12" s="25"/>
      <c r="D12" s="30" t="s">
        <v>57</v>
      </c>
      <c r="E12" s="29"/>
      <c r="F12" s="29"/>
      <c r="G12" s="29"/>
      <c r="H12" s="3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7"/>
    </row>
    <row r="13" s="4" customFormat="1" ht="24.95" customHeight="1" spans="1:243">
      <c r="A13" s="28"/>
      <c r="B13" s="32"/>
      <c r="C13" s="25"/>
      <c r="D13" s="30"/>
      <c r="E13" s="29"/>
      <c r="F13" s="29"/>
      <c r="G13" s="29"/>
      <c r="H13" s="3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7"/>
    </row>
    <row r="14" s="4" customFormat="1" ht="24.95" customHeight="1" spans="1:243">
      <c r="A14" s="33" t="s">
        <v>58</v>
      </c>
      <c r="B14" s="32" t="s">
        <v>59</v>
      </c>
      <c r="C14" s="25"/>
      <c r="D14" s="30" t="s">
        <v>60</v>
      </c>
      <c r="E14" s="29"/>
      <c r="F14" s="29"/>
      <c r="G14" s="29"/>
      <c r="H14" s="3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7"/>
    </row>
    <row r="15" s="4" customFormat="1" ht="27" spans="1:243">
      <c r="A15" s="35"/>
      <c r="B15" s="32" t="s">
        <v>61</v>
      </c>
      <c r="C15" s="25"/>
      <c r="D15" s="30" t="s">
        <v>62</v>
      </c>
      <c r="E15" s="29"/>
      <c r="F15" s="29"/>
      <c r="G15" s="29"/>
      <c r="H15" s="3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7"/>
    </row>
    <row r="16" s="4" customFormat="1" ht="27" spans="1:243">
      <c r="A16" s="35"/>
      <c r="B16" s="32" t="s">
        <v>63</v>
      </c>
      <c r="C16" s="25"/>
      <c r="D16" s="30" t="s">
        <v>64</v>
      </c>
      <c r="E16" s="29"/>
      <c r="F16" s="29"/>
      <c r="G16" s="29"/>
      <c r="H16" s="3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7"/>
    </row>
    <row r="17" s="4" customFormat="1" ht="13.5" spans="1:256">
      <c r="A17" s="35"/>
      <c r="B17" s="32" t="s">
        <v>65</v>
      </c>
      <c r="C17" s="25"/>
      <c r="D17" s="30" t="s">
        <v>66</v>
      </c>
      <c r="E17" s="29"/>
      <c r="F17" s="29"/>
      <c r="G17" s="29"/>
      <c r="H17" s="3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7"/>
    </row>
    <row r="18" s="4" customFormat="1" ht="13.5" spans="1:256">
      <c r="A18" s="35"/>
      <c r="B18" s="32" t="s">
        <v>67</v>
      </c>
      <c r="C18" s="25"/>
      <c r="D18" s="30" t="s">
        <v>68</v>
      </c>
      <c r="E18" s="29"/>
      <c r="F18" s="29"/>
      <c r="G18" s="29"/>
      <c r="H18" s="3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7"/>
    </row>
    <row r="19" s="4" customFormat="1" ht="24.95" customHeight="1" spans="1:256">
      <c r="A19" s="35"/>
      <c r="B19" s="32"/>
      <c r="C19" s="25"/>
      <c r="D19" s="30"/>
      <c r="E19" s="29"/>
      <c r="F19" s="29"/>
      <c r="G19" s="29"/>
      <c r="H19" s="3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7"/>
    </row>
    <row r="20" s="4" customFormat="1" ht="24.95" customHeight="1" spans="1:256">
      <c r="A20" s="33" t="s">
        <v>69</v>
      </c>
      <c r="B20" s="32" t="s">
        <v>70</v>
      </c>
      <c r="C20" s="25"/>
      <c r="D20" s="30" t="s">
        <v>71</v>
      </c>
      <c r="E20" s="29"/>
      <c r="F20" s="29"/>
      <c r="G20" s="29"/>
      <c r="H20" s="3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7"/>
    </row>
    <row r="21" s="4" customFormat="1" ht="24.95" customHeight="1" spans="1:256">
      <c r="A21" s="35"/>
      <c r="B21" s="32"/>
      <c r="C21" s="25"/>
      <c r="D21" s="30"/>
      <c r="E21" s="29"/>
      <c r="F21" s="29"/>
      <c r="G21" s="29"/>
      <c r="H21" s="3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7"/>
    </row>
    <row r="22" s="5" customFormat="1" ht="24.95" customHeight="1" spans="1:256">
      <c r="A22" s="36"/>
      <c r="B22" s="29"/>
      <c r="C22" s="25"/>
      <c r="D22" s="30"/>
      <c r="E22" s="29"/>
      <c r="F22" s="29"/>
      <c r="G22" s="29"/>
      <c r="H22" s="3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="3" customFormat="1" ht="24.95" customHeight="1" spans="1:256">
      <c r="A23" s="37" t="s">
        <v>72</v>
      </c>
      <c r="B23" s="24" t="s">
        <v>73</v>
      </c>
      <c r="C23" s="25"/>
      <c r="D23" s="26" t="s">
        <v>74</v>
      </c>
      <c r="E23" s="24"/>
      <c r="F23" s="24"/>
      <c r="G23" s="24"/>
      <c r="H23" s="38"/>
      <c r="II23" s="7"/>
    </row>
    <row r="24" s="3" customFormat="1" ht="24.95" customHeight="1" spans="1:256">
      <c r="A24" s="37"/>
      <c r="B24" s="24" t="s">
        <v>72</v>
      </c>
      <c r="C24" s="25"/>
      <c r="D24" s="26" t="s">
        <v>75</v>
      </c>
      <c r="E24" s="24"/>
      <c r="F24" s="24"/>
      <c r="G24" s="24"/>
      <c r="H24" s="38"/>
      <c r="II24" s="7"/>
    </row>
    <row r="25" s="3" customFormat="1" ht="24.95" customHeight="1" spans="1:256">
      <c r="A25" s="37"/>
      <c r="B25" s="24" t="s">
        <v>76</v>
      </c>
      <c r="C25" s="25"/>
      <c r="D25" s="26" t="s">
        <v>77</v>
      </c>
      <c r="E25" s="24"/>
      <c r="F25" s="24"/>
      <c r="G25" s="24"/>
      <c r="H25" s="27"/>
      <c r="II25" s="7"/>
    </row>
    <row r="26" s="3" customFormat="1" ht="24.95" customHeight="1" spans="1:256">
      <c r="A26" s="37"/>
      <c r="B26" s="24" t="s">
        <v>78</v>
      </c>
      <c r="C26" s="25"/>
      <c r="D26" s="26" t="s">
        <v>79</v>
      </c>
      <c r="E26" s="24"/>
      <c r="F26" s="24"/>
      <c r="G26" s="24"/>
      <c r="H26" s="27"/>
      <c r="II26" s="7"/>
    </row>
    <row r="27" s="3" customFormat="1" ht="24.95" customHeight="1" spans="1:256">
      <c r="A27" s="37"/>
      <c r="B27" s="24" t="s">
        <v>80</v>
      </c>
      <c r="C27" s="25"/>
      <c r="D27" s="26" t="s">
        <v>81</v>
      </c>
      <c r="E27" s="24"/>
      <c r="F27" s="24"/>
      <c r="G27" s="24"/>
      <c r="H27" s="27"/>
      <c r="II27" s="7"/>
    </row>
    <row r="28" s="3" customFormat="1" ht="24.95" customHeight="1" spans="1:256">
      <c r="A28" s="37"/>
      <c r="B28" s="24" t="s">
        <v>82</v>
      </c>
      <c r="C28" s="25"/>
      <c r="D28" s="26" t="s">
        <v>83</v>
      </c>
      <c r="E28" s="24"/>
      <c r="F28" s="24"/>
      <c r="G28" s="24"/>
      <c r="H28" s="27"/>
      <c r="II28" s="7"/>
    </row>
    <row r="29" s="5" customFormat="1" ht="24.95" customHeight="1" spans="1:256">
      <c r="A29" s="39" t="s">
        <v>84</v>
      </c>
      <c r="B29" s="29" t="s">
        <v>85</v>
      </c>
      <c r="C29" s="25"/>
      <c r="D29" s="30" t="s">
        <v>86</v>
      </c>
      <c r="E29" s="29"/>
      <c r="F29" s="29"/>
      <c r="G29" s="40"/>
      <c r="H29" s="31"/>
      <c r="I29" s="41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s="5" customFormat="1" ht="24.95" customHeight="1" spans="1:256">
      <c r="A30" s="39"/>
      <c r="B30" s="29" t="s">
        <v>87</v>
      </c>
      <c r="C30" s="25"/>
      <c r="D30" s="30" t="s">
        <v>88</v>
      </c>
      <c r="E30" s="29"/>
      <c r="F30" s="29"/>
      <c r="G30" s="40"/>
      <c r="H30" s="31"/>
      <c r="I30" s="41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="5" customFormat="1" ht="24.95" customHeight="1" spans="1:256">
      <c r="A31" s="39"/>
      <c r="B31" s="29" t="s">
        <v>89</v>
      </c>
      <c r="C31" s="25"/>
      <c r="D31" s="30" t="s">
        <v>90</v>
      </c>
      <c r="E31" s="29"/>
      <c r="F31" s="29"/>
      <c r="G31" s="40"/>
      <c r="H31" s="31"/>
      <c r="I31" s="4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="5" customFormat="1" ht="24.95" customHeight="1" spans="1:256">
      <c r="A32" s="39"/>
      <c r="B32" s="29" t="s">
        <v>91</v>
      </c>
      <c r="C32" s="25"/>
      <c r="D32" s="30" t="s">
        <v>92</v>
      </c>
      <c r="E32" s="29"/>
      <c r="F32" s="29"/>
      <c r="G32" s="40"/>
      <c r="H32" s="31"/>
      <c r="I32" s="4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="5" customFormat="1" ht="24.95" customHeight="1" spans="1:256">
      <c r="A33" s="39"/>
      <c r="B33" s="29"/>
      <c r="C33" s="25"/>
      <c r="D33" s="30"/>
      <c r="E33" s="29"/>
      <c r="F33" s="29"/>
      <c r="G33" s="40"/>
      <c r="H33" s="31"/>
      <c r="I33" s="4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="5" customFormat="1" ht="24.95" customHeight="1" spans="1:256">
      <c r="A34" s="33" t="s">
        <v>93</v>
      </c>
      <c r="B34" s="29" t="s">
        <v>94</v>
      </c>
      <c r="C34" s="25"/>
      <c r="D34" s="30" t="s">
        <v>95</v>
      </c>
      <c r="E34" s="29"/>
      <c r="F34" s="29"/>
      <c r="G34" s="40"/>
      <c r="H34" s="31"/>
      <c r="I34" s="4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="5" customFormat="1" ht="24.95" customHeight="1" spans="1:256">
      <c r="A35" s="35"/>
      <c r="B35" s="29" t="s">
        <v>96</v>
      </c>
      <c r="C35" s="25"/>
      <c r="D35" s="30" t="s">
        <v>97</v>
      </c>
      <c r="E35" s="29"/>
      <c r="F35" s="29"/>
      <c r="G35" s="40"/>
      <c r="H35" s="31"/>
      <c r="I35" s="41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  <row r="36" s="5" customFormat="1" ht="24.95" customHeight="1" spans="1:256">
      <c r="A36" s="36"/>
      <c r="B36" s="29" t="s">
        <v>98</v>
      </c>
      <c r="C36" s="25"/>
      <c r="D36" s="30" t="s">
        <v>99</v>
      </c>
      <c r="E36" s="29"/>
      <c r="F36" s="29"/>
      <c r="G36" s="40"/>
      <c r="H36" s="31"/>
      <c r="I36" s="41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s="3" customFormat="1" ht="24.95" customHeight="1" spans="1:256">
      <c r="A37" s="37" t="s">
        <v>100</v>
      </c>
      <c r="B37" s="37" t="s">
        <v>101</v>
      </c>
      <c r="C37" s="25"/>
      <c r="D37" s="26" t="s">
        <v>102</v>
      </c>
      <c r="E37" s="24"/>
      <c r="F37" s="24"/>
      <c r="G37" s="24"/>
      <c r="H37" s="27"/>
      <c r="II37" s="7"/>
    </row>
    <row r="38" s="3" customFormat="1" ht="24.95" customHeight="1" spans="1:256">
      <c r="A38" s="37"/>
      <c r="B38" s="37" t="s">
        <v>103</v>
      </c>
      <c r="C38" s="25"/>
      <c r="D38" s="26" t="s">
        <v>104</v>
      </c>
      <c r="E38" s="24"/>
      <c r="F38" s="24"/>
      <c r="G38" s="24"/>
      <c r="H38" s="27"/>
      <c r="II38" s="7"/>
    </row>
    <row r="39" s="3" customFormat="1" ht="24.95" customHeight="1" spans="1:256">
      <c r="A39" s="37"/>
      <c r="B39" s="37" t="s">
        <v>105</v>
      </c>
      <c r="C39" s="25"/>
      <c r="D39" s="26" t="s">
        <v>106</v>
      </c>
      <c r="E39" s="24"/>
      <c r="F39" s="24"/>
      <c r="G39" s="24"/>
      <c r="H39" s="27"/>
      <c r="II39" s="7"/>
    </row>
    <row r="40" s="3" customFormat="1" ht="24.95" customHeight="1" spans="1:256">
      <c r="A40" s="37"/>
      <c r="B40" s="37" t="s">
        <v>107</v>
      </c>
      <c r="C40" s="25"/>
      <c r="D40" s="26" t="s">
        <v>108</v>
      </c>
      <c r="E40" s="24"/>
      <c r="F40" s="24"/>
      <c r="G40" s="24"/>
      <c r="H40" s="27"/>
      <c r="II40" s="7"/>
    </row>
    <row r="41" s="3" customFormat="1" ht="24.95" customHeight="1" spans="1:256">
      <c r="A41" s="37"/>
      <c r="B41" s="37" t="s">
        <v>109</v>
      </c>
      <c r="C41" s="25"/>
      <c r="D41" s="26" t="s">
        <v>110</v>
      </c>
      <c r="E41" s="24"/>
      <c r="F41" s="24"/>
      <c r="G41" s="24"/>
      <c r="H41" s="27"/>
      <c r="II41" s="7"/>
    </row>
    <row r="42" s="3" customFormat="1" ht="24.95" customHeight="1" spans="1:256">
      <c r="A42" s="37"/>
      <c r="B42" s="37" t="s">
        <v>111</v>
      </c>
      <c r="C42" s="25"/>
      <c r="D42" s="26" t="s">
        <v>112</v>
      </c>
      <c r="E42" s="24"/>
      <c r="F42" s="24"/>
      <c r="G42" s="24"/>
      <c r="H42" s="27"/>
      <c r="II42" s="7"/>
    </row>
    <row r="43" s="3" customFormat="1" ht="24.95" customHeight="1" spans="1:256">
      <c r="A43" s="37"/>
      <c r="B43" s="37" t="s">
        <v>113</v>
      </c>
      <c r="C43" s="25"/>
      <c r="D43" s="26" t="s">
        <v>114</v>
      </c>
      <c r="E43" s="24"/>
      <c r="F43" s="24"/>
      <c r="G43" s="24"/>
      <c r="H43" s="27"/>
      <c r="II43" s="7"/>
    </row>
    <row r="44" s="3" customFormat="1" ht="24.95" customHeight="1" spans="1:256">
      <c r="A44" s="37"/>
      <c r="B44" s="37" t="s">
        <v>115</v>
      </c>
      <c r="C44" s="25"/>
      <c r="D44" s="26" t="s">
        <v>116</v>
      </c>
      <c r="E44" s="24"/>
      <c r="F44" s="24"/>
      <c r="G44" s="24"/>
      <c r="H44" s="27"/>
      <c r="II44" s="7"/>
    </row>
    <row r="45" s="6" customFormat="1" ht="24.95" customHeight="1" spans="1:256">
      <c r="A45" s="37"/>
      <c r="B45" s="24" t="s">
        <v>117</v>
      </c>
      <c r="C45" s="25"/>
      <c r="D45" s="26" t="s">
        <v>118</v>
      </c>
      <c r="E45" s="24"/>
      <c r="F45" s="24"/>
      <c r="G45" s="24"/>
      <c r="H45" s="2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="6" customFormat="1" ht="24.95" customHeight="1" spans="1:256">
      <c r="A46" s="37"/>
      <c r="B46" s="24" t="s">
        <v>119</v>
      </c>
      <c r="C46" s="25"/>
      <c r="D46" s="26" t="s">
        <v>120</v>
      </c>
      <c r="E46" s="24"/>
      <c r="F46" s="24"/>
      <c r="G46" s="24"/>
      <c r="H46" s="2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="3" customFormat="1" ht="29.1" customHeight="1" spans="1:256">
      <c r="A47" s="37"/>
      <c r="B47" s="24"/>
      <c r="C47" s="25"/>
      <c r="D47" s="26"/>
      <c r="E47" s="24"/>
      <c r="F47" s="24"/>
      <c r="G47" s="24"/>
      <c r="H47" s="27"/>
      <c r="II47" s="7"/>
    </row>
    <row r="48" s="3" customFormat="1" ht="24.95" hidden="1" customHeight="1" spans="1:256">
      <c r="A48" s="23" t="s">
        <v>121</v>
      </c>
      <c r="B48" s="37" t="s">
        <v>122</v>
      </c>
      <c r="C48" s="25"/>
      <c r="D48" s="30" t="s">
        <v>123</v>
      </c>
      <c r="E48" s="24"/>
      <c r="F48" s="29"/>
      <c r="G48" s="29"/>
      <c r="H48" s="31"/>
      <c r="II48" s="7"/>
    </row>
    <row r="49" s="3" customFormat="1" ht="24.95" hidden="1" customHeight="1" spans="1:256">
      <c r="A49" s="28"/>
      <c r="B49" s="37" t="s">
        <v>124</v>
      </c>
      <c r="C49" s="25"/>
      <c r="D49" s="42" t="s">
        <v>125</v>
      </c>
      <c r="E49" s="29"/>
      <c r="F49" s="29"/>
      <c r="G49" s="29"/>
      <c r="H49" s="31"/>
      <c r="II49" s="7"/>
    </row>
    <row r="50" s="3" customFormat="1" ht="24.95" customHeight="1" spans="1:256">
      <c r="A50" s="28"/>
      <c r="B50" s="37" t="s">
        <v>126</v>
      </c>
      <c r="C50" s="25"/>
      <c r="D50" s="26" t="s">
        <v>127</v>
      </c>
      <c r="E50" s="24"/>
      <c r="F50" s="24"/>
      <c r="G50" s="24"/>
      <c r="H50" s="27"/>
      <c r="II50" s="7"/>
    </row>
    <row r="51" s="3" customFormat="1" ht="24.95" customHeight="1" spans="1:256">
      <c r="A51" s="28"/>
      <c r="B51" s="37" t="s">
        <v>128</v>
      </c>
      <c r="C51" s="25"/>
      <c r="D51" s="26" t="s">
        <v>129</v>
      </c>
      <c r="E51" s="24"/>
      <c r="F51" s="24"/>
      <c r="G51" s="24"/>
      <c r="H51" s="27"/>
      <c r="II51" s="7"/>
    </row>
    <row r="52" s="6" customFormat="1" ht="24.95" customHeight="1" spans="1:256">
      <c r="A52" s="28"/>
      <c r="B52" s="37" t="s">
        <v>130</v>
      </c>
      <c r="C52" s="25"/>
      <c r="D52" s="26" t="s">
        <v>131</v>
      </c>
      <c r="E52" s="24"/>
      <c r="F52" s="24"/>
      <c r="G52" s="24"/>
      <c r="H52" s="2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</row>
    <row r="53" s="6" customFormat="1" ht="24.95" customHeight="1" spans="1:256">
      <c r="A53" s="28"/>
      <c r="B53" s="37" t="s">
        <v>132</v>
      </c>
      <c r="C53" s="25"/>
      <c r="D53" s="26" t="s">
        <v>133</v>
      </c>
      <c r="E53" s="24"/>
      <c r="F53" s="24"/>
      <c r="G53" s="24"/>
      <c r="H53" s="2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</row>
    <row r="54" s="6" customFormat="1" ht="24.95" customHeight="1" spans="1:256">
      <c r="A54" s="44"/>
      <c r="B54" s="37"/>
      <c r="C54" s="25"/>
      <c r="D54" s="26"/>
      <c r="E54" s="24"/>
      <c r="F54" s="24"/>
      <c r="G54" s="24"/>
      <c r="H54" s="2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</row>
    <row r="55" s="3" customFormat="1" ht="24.95" customHeight="1" spans="1:256">
      <c r="A55" s="37" t="s">
        <v>134</v>
      </c>
      <c r="B55" s="24" t="s">
        <v>135</v>
      </c>
      <c r="C55" s="25"/>
      <c r="D55" s="26" t="s">
        <v>136</v>
      </c>
      <c r="E55" s="24"/>
      <c r="F55" s="24"/>
      <c r="G55" s="24"/>
      <c r="H55" s="27"/>
    </row>
    <row r="56" s="3" customFormat="1" ht="24.95" customHeight="1" spans="1:256">
      <c r="A56" s="37"/>
      <c r="B56" s="37" t="s">
        <v>137</v>
      </c>
      <c r="C56" s="25"/>
      <c r="D56" s="26" t="s">
        <v>138</v>
      </c>
      <c r="E56" s="24"/>
      <c r="F56" s="24"/>
      <c r="G56" s="24"/>
      <c r="H56" s="27"/>
    </row>
    <row r="57" s="3" customFormat="1" ht="24.95" customHeight="1" spans="1:256">
      <c r="A57" s="37"/>
      <c r="B57" s="37" t="s">
        <v>139</v>
      </c>
      <c r="C57" s="25"/>
      <c r="D57" s="26" t="s">
        <v>140</v>
      </c>
      <c r="E57" s="24"/>
      <c r="F57" s="24"/>
      <c r="G57" s="24"/>
      <c r="H57" s="27"/>
    </row>
    <row r="58" s="3" customFormat="1" ht="24.95" customHeight="1" spans="1:256">
      <c r="A58" s="37"/>
      <c r="B58" s="24"/>
      <c r="C58" s="25"/>
      <c r="D58" s="26"/>
      <c r="E58" s="24"/>
      <c r="F58" s="24"/>
      <c r="G58" s="24"/>
      <c r="H58" s="27"/>
    </row>
    <row r="59" s="3" customFormat="1" ht="24.95" customHeight="1" spans="1:256">
      <c r="A59" s="37"/>
      <c r="B59" s="24"/>
      <c r="C59" s="25"/>
      <c r="D59" s="26"/>
      <c r="E59" s="24"/>
      <c r="F59" s="24"/>
      <c r="G59" s="24"/>
      <c r="H59" s="27"/>
    </row>
    <row r="60" s="3" customFormat="1" ht="24.95" customHeight="1" spans="1:256">
      <c r="A60" s="37"/>
      <c r="B60" s="24"/>
      <c r="C60" s="25"/>
      <c r="D60" s="26"/>
      <c r="E60" s="24"/>
      <c r="F60" s="24"/>
      <c r="G60" s="24"/>
      <c r="H60" s="27"/>
    </row>
    <row r="61" s="3" customFormat="1" ht="24.95" customHeight="1" spans="1:256">
      <c r="A61" s="23" t="s">
        <v>141</v>
      </c>
      <c r="B61" s="24" t="s">
        <v>142</v>
      </c>
      <c r="C61" s="25"/>
      <c r="D61" s="26"/>
      <c r="E61" s="24"/>
      <c r="F61" s="24"/>
      <c r="G61" s="24"/>
      <c r="H61" s="27"/>
    </row>
    <row r="62" s="3" customFormat="1" ht="24.95" customHeight="1" spans="1:256">
      <c r="A62" s="28"/>
      <c r="B62" s="24" t="s">
        <v>143</v>
      </c>
      <c r="C62" s="25"/>
      <c r="D62" s="26"/>
      <c r="E62" s="24"/>
      <c r="F62" s="24"/>
      <c r="G62" s="24"/>
      <c r="H62" s="27"/>
    </row>
    <row r="63" s="3" customFormat="1" ht="24.95" customHeight="1" spans="1:256">
      <c r="A63" s="44"/>
      <c r="B63" s="3" t="s">
        <v>144</v>
      </c>
      <c r="C63" s="25"/>
      <c r="D63" s="26"/>
      <c r="E63" s="24"/>
      <c r="F63" s="24"/>
      <c r="G63" s="24"/>
      <c r="H63" s="27"/>
    </row>
    <row r="64" s="3" customFormat="1" ht="24.95" customHeight="1" spans="1:256">
      <c r="A64" s="23" t="s">
        <v>145</v>
      </c>
      <c r="B64" s="24" t="s">
        <v>146</v>
      </c>
      <c r="C64" s="25"/>
      <c r="D64" s="26" t="s">
        <v>147</v>
      </c>
      <c r="E64" s="24"/>
      <c r="F64" s="24"/>
      <c r="G64" s="24"/>
      <c r="H64" s="27"/>
    </row>
    <row r="65" s="3" customFormat="1" ht="24.95" customHeight="1" spans="1:243">
      <c r="A65" s="28"/>
      <c r="B65" s="24" t="s">
        <v>148</v>
      </c>
      <c r="C65" s="25"/>
      <c r="D65" s="26" t="s">
        <v>149</v>
      </c>
      <c r="E65" s="24"/>
      <c r="F65" s="24"/>
      <c r="G65" s="24"/>
      <c r="H65" s="27"/>
    </row>
    <row r="66" s="3" customFormat="1" ht="24.95" customHeight="1" spans="1:243">
      <c r="A66" s="28"/>
      <c r="B66" s="24" t="s">
        <v>150</v>
      </c>
      <c r="C66" s="25"/>
      <c r="D66" s="26" t="s">
        <v>151</v>
      </c>
      <c r="E66" s="24"/>
      <c r="F66" s="24"/>
      <c r="G66" s="24"/>
      <c r="H66" s="27"/>
    </row>
    <row r="67" s="3" customFormat="1" ht="24.95" customHeight="1" spans="1:243">
      <c r="A67" s="28"/>
      <c r="B67" s="24"/>
      <c r="C67" s="25"/>
      <c r="D67" s="26"/>
      <c r="E67" s="24"/>
      <c r="F67" s="24"/>
      <c r="G67" s="24"/>
      <c r="H67" s="27"/>
    </row>
    <row r="68" s="3" customFormat="1" ht="24.95" customHeight="1" spans="1:243">
      <c r="A68" s="28"/>
      <c r="B68" s="24"/>
      <c r="C68" s="25"/>
      <c r="D68" s="26"/>
      <c r="E68" s="24"/>
      <c r="F68" s="24"/>
      <c r="G68" s="24"/>
      <c r="H68" s="27"/>
    </row>
    <row r="69" s="3" customFormat="1" ht="24.95" customHeight="1" spans="1:243">
      <c r="A69" s="28"/>
      <c r="B69" s="24"/>
      <c r="C69" s="25"/>
      <c r="D69" s="26"/>
      <c r="E69" s="24"/>
      <c r="F69" s="24"/>
      <c r="G69" s="24"/>
      <c r="H69" s="27"/>
    </row>
    <row r="70" s="3" customFormat="1" ht="24.95" customHeight="1" spans="1:243">
      <c r="A70" s="23" t="s">
        <v>152</v>
      </c>
      <c r="B70" s="24" t="s">
        <v>153</v>
      </c>
      <c r="C70" s="25"/>
      <c r="D70" s="26"/>
      <c r="E70" s="24"/>
      <c r="F70" s="24"/>
      <c r="G70" s="24"/>
      <c r="H70" s="27"/>
    </row>
    <row r="71" s="3" customFormat="1" ht="24.95" customHeight="1" spans="1:243">
      <c r="A71" s="28"/>
      <c r="B71" s="24" t="s">
        <v>154</v>
      </c>
      <c r="C71" s="25"/>
      <c r="D71" s="26"/>
      <c r="E71" s="24"/>
      <c r="F71" s="24"/>
      <c r="G71" s="24"/>
      <c r="H71" s="27"/>
    </row>
    <row r="72" s="3" customFormat="1" ht="24.95" customHeight="1" spans="1:243">
      <c r="A72" s="28"/>
      <c r="B72" s="24" t="s">
        <v>155</v>
      </c>
      <c r="C72" s="25"/>
      <c r="D72" s="26"/>
      <c r="E72" s="24"/>
      <c r="F72" s="24"/>
      <c r="G72" s="24"/>
      <c r="H72" s="27"/>
    </row>
    <row r="73" s="3" customFormat="1" ht="24.95" customHeight="1" spans="1:243">
      <c r="A73" s="28"/>
      <c r="B73" s="24" t="s">
        <v>156</v>
      </c>
      <c r="C73" s="25"/>
      <c r="D73" s="26" t="s">
        <v>157</v>
      </c>
      <c r="E73" s="24"/>
      <c r="F73" s="24"/>
      <c r="G73" s="24"/>
      <c r="H73" s="27"/>
    </row>
    <row r="74" s="3" customFormat="1" ht="24.95" customHeight="1" spans="1:243">
      <c r="A74" s="44"/>
      <c r="B74" s="24" t="s">
        <v>158</v>
      </c>
      <c r="C74" s="25"/>
      <c r="D74" s="26"/>
      <c r="E74" s="24"/>
      <c r="F74" s="24"/>
      <c r="G74" s="24"/>
      <c r="H74" s="27"/>
    </row>
    <row r="75" s="3" customFormat="1" ht="24.95" customHeight="1" spans="1:243">
      <c r="A75" s="37" t="s">
        <v>159</v>
      </c>
      <c r="B75" s="24" t="s">
        <v>160</v>
      </c>
      <c r="C75" s="25"/>
      <c r="D75" s="26"/>
      <c r="E75" s="24"/>
      <c r="F75" s="24"/>
      <c r="G75" s="24"/>
      <c r="H75" s="27"/>
      <c r="II75" s="7"/>
    </row>
    <row r="76" s="3" customFormat="1" ht="23.25" customHeight="1" spans="1:243">
      <c r="A76" s="37"/>
      <c r="B76" s="45"/>
      <c r="C76" s="46"/>
      <c r="D76" s="26"/>
      <c r="E76" s="24"/>
      <c r="F76" s="24"/>
      <c r="G76" s="24"/>
      <c r="H76" s="27"/>
      <c r="II76" s="7"/>
    </row>
    <row r="77" s="3" customFormat="1" ht="24.95" customHeight="1" spans="1:243">
      <c r="A77" s="37"/>
      <c r="B77" s="45"/>
      <c r="C77" s="46"/>
      <c r="D77" s="26"/>
      <c r="E77" s="24"/>
      <c r="F77" s="24"/>
      <c r="G77" s="24"/>
      <c r="H77" s="27"/>
      <c r="II77" s="7"/>
    </row>
    <row r="78" s="3" customFormat="1" ht="24.95" customHeight="1" spans="1:243">
      <c r="A78" s="37"/>
      <c r="B78" s="45"/>
      <c r="C78" s="46"/>
      <c r="D78" s="26"/>
      <c r="E78" s="24"/>
      <c r="F78" s="24"/>
      <c r="G78" s="24"/>
      <c r="H78" s="27"/>
      <c r="II78" s="7"/>
    </row>
    <row r="79" s="3" customFormat="1" ht="24.95" customHeight="1" spans="1:243">
      <c r="A79" s="37"/>
      <c r="B79" s="24"/>
      <c r="C79" s="25"/>
      <c r="D79" s="26"/>
      <c r="E79" s="24"/>
      <c r="F79" s="24"/>
      <c r="G79" s="24"/>
      <c r="H79" s="27"/>
      <c r="II79" s="7"/>
    </row>
    <row r="80" s="3" customFormat="1" ht="23.25" customHeight="1" spans="1:243">
      <c r="A80" s="37"/>
      <c r="B80" s="24"/>
      <c r="C80" s="25"/>
      <c r="D80" s="26"/>
      <c r="E80" s="24"/>
      <c r="F80" s="24"/>
      <c r="G80" s="24"/>
      <c r="H80" s="27"/>
      <c r="II80" s="7"/>
    </row>
    <row r="81" s="3" customFormat="1" ht="24.95" customHeight="1" spans="1:256">
      <c r="A81" s="37"/>
      <c r="B81" s="24"/>
      <c r="C81" s="25"/>
      <c r="D81" s="26"/>
      <c r="E81" s="24"/>
      <c r="F81" s="24"/>
      <c r="G81" s="24"/>
      <c r="H81" s="27"/>
      <c r="II81" s="7"/>
    </row>
    <row r="82" s="3" customFormat="1" ht="24.95" customHeight="1" spans="1:256">
      <c r="A82" s="37"/>
      <c r="B82" s="47"/>
      <c r="C82" s="25"/>
      <c r="D82" s="26"/>
      <c r="E82" s="24"/>
      <c r="F82" s="24"/>
      <c r="G82" s="24"/>
      <c r="H82" s="27"/>
      <c r="II82" s="7"/>
    </row>
    <row r="83" s="6" customFormat="1" ht="24.95" customHeight="1" spans="1:256">
      <c r="A83" s="37"/>
      <c r="B83" s="27"/>
      <c r="C83" s="25"/>
      <c r="D83" s="48"/>
      <c r="E83" s="24"/>
      <c r="F83" s="24"/>
      <c r="G83" s="24"/>
      <c r="H83" s="2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</row>
    <row r="84" s="3" customFormat="1" ht="24.95" customHeight="1" spans="1:256">
      <c r="A84" s="37"/>
      <c r="B84" s="24"/>
      <c r="C84" s="25"/>
      <c r="D84" s="49"/>
      <c r="E84" s="24"/>
      <c r="F84" s="24"/>
      <c r="G84" s="24"/>
      <c r="H84" s="27"/>
      <c r="II84" s="7"/>
    </row>
    <row r="85" s="6" customFormat="1" ht="24.95" customHeight="1" spans="1:256">
      <c r="A85" s="37"/>
      <c r="B85" s="24"/>
      <c r="C85" s="25"/>
      <c r="D85" s="26"/>
      <c r="E85" s="24"/>
      <c r="F85" s="24"/>
      <c r="G85" s="24"/>
      <c r="H85" s="2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</row>
    <row r="86" s="6" customFormat="1" ht="24.95" customHeight="1" spans="1:256">
      <c r="A86" s="37"/>
      <c r="B86" s="24"/>
      <c r="C86" s="25"/>
      <c r="D86" s="50"/>
      <c r="E86" s="24"/>
      <c r="F86" s="24"/>
      <c r="G86" s="24"/>
      <c r="H86" s="2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</row>
    <row r="87" s="6" customFormat="1" ht="13.5" spans="1:256">
      <c r="A87" s="37"/>
      <c r="B87" s="24"/>
      <c r="C87" s="25"/>
      <c r="D87" s="51"/>
      <c r="E87" s="24"/>
      <c r="F87" s="24"/>
      <c r="G87" s="24"/>
      <c r="H87" s="2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</row>
    <row r="88" s="6" customFormat="1" ht="24.95" customHeight="1" spans="1:256">
      <c r="A88" s="37"/>
      <c r="B88" s="24"/>
      <c r="C88" s="25"/>
      <c r="D88" s="50"/>
      <c r="E88" s="24"/>
      <c r="F88" s="24"/>
      <c r="G88" s="24"/>
      <c r="H88" s="2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</row>
    <row r="89" s="6" customFormat="1" ht="24.95" customHeight="1" spans="1:256">
      <c r="A89" s="37"/>
      <c r="B89" s="24"/>
      <c r="C89" s="25"/>
      <c r="D89" s="26"/>
      <c r="E89" s="24"/>
      <c r="F89" s="24"/>
      <c r="G89" s="24"/>
      <c r="H89" s="2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</row>
    <row r="90" s="6" customFormat="1" ht="24.95" customHeight="1" spans="1:256">
      <c r="A90" s="37"/>
      <c r="B90" s="24"/>
      <c r="C90" s="25"/>
      <c r="D90" s="26"/>
      <c r="E90" s="24"/>
      <c r="F90" s="24"/>
      <c r="G90" s="24"/>
      <c r="H90" s="2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</row>
    <row r="91" s="6" customFormat="1" ht="13.5" spans="1:256">
      <c r="A91" s="37"/>
      <c r="B91" s="24"/>
      <c r="C91" s="25"/>
      <c r="D91" s="26"/>
      <c r="E91" s="24"/>
      <c r="F91" s="24"/>
      <c r="G91" s="24"/>
      <c r="H91" s="2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</row>
    <row r="92" s="3" customFormat="1" ht="30" customHeight="1" spans="1:256">
      <c r="A92" s="37"/>
      <c r="B92" s="24"/>
      <c r="C92" s="25"/>
      <c r="D92" s="26"/>
      <c r="E92" s="24"/>
      <c r="F92" s="24"/>
      <c r="G92" s="24"/>
      <c r="H92" s="27"/>
      <c r="II92" s="7"/>
    </row>
    <row r="93" s="3" customFormat="1" ht="24.95" customHeight="1" spans="1:256">
      <c r="A93" s="37"/>
      <c r="B93" s="24"/>
      <c r="C93" s="25"/>
      <c r="D93" s="26"/>
      <c r="E93" s="24"/>
      <c r="F93" s="24"/>
      <c r="G93" s="24"/>
      <c r="H93" s="27"/>
      <c r="II93" s="7"/>
    </row>
    <row r="94" s="6" customFormat="1" ht="24.95" customHeight="1" spans="1:256">
      <c r="A94" s="37"/>
      <c r="B94" s="24"/>
      <c r="C94" s="25"/>
      <c r="D94" s="52"/>
      <c r="E94" s="24"/>
      <c r="F94" s="24"/>
      <c r="G94" s="24"/>
      <c r="H94" s="2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</row>
    <row r="95" s="3" customFormat="1" ht="13.5" spans="1:256">
      <c r="A95" s="37"/>
      <c r="B95" s="24"/>
      <c r="C95" s="25"/>
      <c r="D95" s="26"/>
      <c r="E95" s="24"/>
      <c r="F95" s="24"/>
      <c r="G95" s="24"/>
      <c r="H95" s="27"/>
      <c r="II95" s="7"/>
    </row>
    <row r="96" s="3" customFormat="1" ht="30.95" customHeight="1" spans="1:256">
      <c r="A96" s="37"/>
      <c r="B96" s="24"/>
      <c r="C96" s="25"/>
      <c r="D96" s="26"/>
      <c r="E96" s="24"/>
      <c r="F96" s="24"/>
      <c r="G96" s="24"/>
      <c r="H96" s="27"/>
      <c r="II96" s="7"/>
    </row>
    <row r="97" s="3" customFormat="1" ht="24.95" customHeight="1" spans="1:256">
      <c r="A97" s="37"/>
      <c r="B97" s="24"/>
      <c r="C97" s="25"/>
      <c r="D97" s="26"/>
      <c r="E97" s="24"/>
      <c r="F97" s="24"/>
      <c r="G97" s="24"/>
      <c r="H97" s="27"/>
      <c r="II97" s="7"/>
    </row>
    <row r="98" s="6" customFormat="1" ht="24.95" customHeight="1" spans="1:256">
      <c r="A98" s="37"/>
      <c r="B98" s="37"/>
      <c r="C98" s="25"/>
      <c r="D98" s="53"/>
      <c r="E98" s="24"/>
      <c r="F98" s="24"/>
      <c r="G98" s="24"/>
      <c r="H98" s="2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</row>
    <row r="99" s="3" customFormat="1" ht="24.95" customHeight="1" spans="1:256">
      <c r="A99" s="37"/>
      <c r="B99" s="24"/>
      <c r="C99" s="25"/>
      <c r="D99" s="26"/>
      <c r="E99" s="24"/>
      <c r="F99" s="24"/>
      <c r="G99" s="24"/>
      <c r="H99" s="27"/>
      <c r="II99" s="7"/>
    </row>
    <row r="100" s="6" customFormat="1" ht="24.95" customHeight="1" spans="1:256">
      <c r="A100" s="37"/>
      <c r="B100" s="24"/>
      <c r="C100" s="25"/>
      <c r="D100" s="54"/>
      <c r="E100" s="24"/>
      <c r="F100" s="24"/>
      <c r="G100" s="24"/>
      <c r="H100" s="2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</row>
    <row r="101" s="6" customFormat="1" ht="24.95" customHeight="1" spans="1:256">
      <c r="A101" s="37"/>
      <c r="B101" s="24"/>
      <c r="C101" s="25"/>
      <c r="D101" s="26"/>
      <c r="E101" s="24"/>
      <c r="F101" s="24"/>
      <c r="G101" s="24"/>
      <c r="H101" s="2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</row>
    <row r="102" s="6" customFormat="1" ht="24.95" customHeight="1" spans="1:256">
      <c r="A102" s="37"/>
      <c r="B102" s="24"/>
      <c r="C102" s="25"/>
      <c r="D102" s="26"/>
      <c r="E102" s="24"/>
      <c r="F102" s="24"/>
      <c r="G102" s="24"/>
      <c r="H102" s="2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</row>
    <row r="103" s="6" customFormat="1" ht="24.95" customHeight="1" spans="1:256">
      <c r="A103" s="37"/>
      <c r="B103" s="24"/>
      <c r="C103" s="25"/>
      <c r="D103" s="26"/>
      <c r="E103" s="24"/>
      <c r="F103" s="24"/>
      <c r="G103" s="24"/>
      <c r="H103" s="2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</row>
    <row r="104" s="6" customFormat="1" ht="24.95" customHeight="1" spans="1:256">
      <c r="A104" s="37"/>
      <c r="B104" s="47"/>
      <c r="C104" s="25"/>
      <c r="D104" s="26"/>
      <c r="E104" s="24"/>
      <c r="F104" s="24"/>
      <c r="G104" s="24"/>
      <c r="H104" s="2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</row>
    <row r="105" s="6" customFormat="1" ht="24.95" customHeight="1" spans="1:256">
      <c r="A105" s="37"/>
      <c r="B105" s="24"/>
      <c r="C105" s="25"/>
      <c r="D105" s="26"/>
      <c r="E105" s="24"/>
      <c r="F105" s="24"/>
      <c r="G105" s="24"/>
      <c r="H105" s="2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</row>
    <row r="106" s="7" customFormat="1" ht="24.95" customHeight="1" spans="1:256">
      <c r="A106" s="37"/>
      <c r="B106" s="24"/>
      <c r="C106" s="25"/>
      <c r="D106" s="26"/>
      <c r="E106" s="24"/>
      <c r="F106" s="24"/>
      <c r="G106" s="24"/>
      <c r="H106" s="2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</row>
    <row r="107" ht="15" customHeight="1" spans="1:256">
      <c r="A107" s="55"/>
      <c r="B107" s="56"/>
      <c r="C107" s="57"/>
      <c r="D107" s="58"/>
      <c r="E107" s="56"/>
      <c r="F107" s="56"/>
      <c r="G107" s="56"/>
    </row>
    <row r="108" ht="23.1" customHeight="1" spans="1:256">
      <c r="A108" s="59" t="s">
        <v>161</v>
      </c>
      <c r="B108" s="59"/>
      <c r="C108" s="59"/>
      <c r="D108" s="58"/>
      <c r="E108" s="56"/>
      <c r="F108" s="56"/>
      <c r="G108" s="56"/>
    </row>
    <row r="109" ht="29.1" customHeight="1" spans="1:256">
      <c r="A109" s="60" t="s">
        <v>162</v>
      </c>
      <c r="B109" s="61" t="s">
        <v>163</v>
      </c>
      <c r="C109" s="62" t="s">
        <v>164</v>
      </c>
    </row>
    <row r="110" customHeight="1" spans="1:256">
      <c r="A110" s="63" t="s">
        <v>165</v>
      </c>
      <c r="B110" s="45">
        <f>COUNTA(B4:B106)</f>
        <v>59</v>
      </c>
      <c r="C110" s="64" t="s">
        <v>166</v>
      </c>
    </row>
    <row r="111" customHeight="1" spans="1:256">
      <c r="A111" s="63" t="s">
        <v>167</v>
      </c>
      <c r="B111" s="45">
        <f>COUNTIF(E4:E106,"原有")</f>
        <v>0</v>
      </c>
      <c r="C111" s="65">
        <f>B111/B110</f>
        <v>0</v>
      </c>
    </row>
    <row r="112" customHeight="1" spans="1:256">
      <c r="A112" s="63" t="s">
        <v>168</v>
      </c>
      <c r="B112" s="66">
        <f>COUNTIF(E4:E106,"新增")</f>
        <v>0</v>
      </c>
      <c r="C112" s="65">
        <f>B112/B110</f>
        <v>0</v>
      </c>
    </row>
    <row r="113" customHeight="1" spans="1:7">
      <c r="A113" s="63" t="s">
        <v>169</v>
      </c>
      <c r="B113" s="66">
        <f>COUNTIF(E4:E106,"修改")</f>
        <v>0</v>
      </c>
      <c r="C113" s="65">
        <f>B113/B110</f>
        <v>0</v>
      </c>
    </row>
    <row r="114" customHeight="1" spans="1:7">
      <c r="A114" s="67" t="s">
        <v>170</v>
      </c>
      <c r="B114" s="68">
        <f>COUNTIF(E4:E106,"删除")</f>
        <v>0</v>
      </c>
      <c r="C114" s="69">
        <f>B114/B110</f>
        <v>0</v>
      </c>
      <c r="D114" s="70"/>
      <c r="E114" s="71"/>
      <c r="F114" s="71"/>
      <c r="G114" s="71"/>
    </row>
    <row r="115" customHeight="1" spans="1:7">
      <c r="A115" s="72"/>
      <c r="B115" s="7"/>
      <c r="C115" s="73"/>
    </row>
    <row r="116" customHeight="1" spans="1:7">
      <c r="A116" s="74" t="s">
        <v>171</v>
      </c>
      <c r="B116" s="75">
        <f>COUNTIF(E4:H106,"v0.1")</f>
        <v>0</v>
      </c>
      <c r="C116" s="76">
        <f>B116/B110</f>
        <v>0</v>
      </c>
    </row>
    <row r="117" customHeight="1" spans="1:7">
      <c r="A117" s="63" t="s">
        <v>172</v>
      </c>
      <c r="B117" s="45">
        <f>COUNTIF(E4:H106,"V0.2")</f>
        <v>0</v>
      </c>
      <c r="C117" s="65">
        <f>B117/B110</f>
        <v>0</v>
      </c>
    </row>
    <row r="118" customHeight="1" spans="1:7">
      <c r="A118" s="63" t="s">
        <v>173</v>
      </c>
      <c r="B118" s="45">
        <f>COUNTIF(E4:H106,"V0.3")</f>
        <v>0</v>
      </c>
      <c r="C118" s="65">
        <f>B118/B110</f>
        <v>0</v>
      </c>
    </row>
    <row r="119" customHeight="1" spans="1:7">
      <c r="A119" s="63" t="s">
        <v>174</v>
      </c>
      <c r="B119" s="45">
        <f>COUNTIF(E4:H106,"V0.4")</f>
        <v>0</v>
      </c>
      <c r="C119" s="65">
        <f>B119/B110</f>
        <v>0</v>
      </c>
    </row>
    <row r="120" customHeight="1" spans="1:7">
      <c r="A120" s="67" t="s">
        <v>175</v>
      </c>
      <c r="B120" s="77">
        <f>COUNTIF(E7:H107,"未计划")</f>
        <v>0</v>
      </c>
      <c r="C120" s="69">
        <f>B120/B110</f>
        <v>0</v>
      </c>
    </row>
  </sheetData>
  <autoFilter xmlns:etc="http://www.wps.cn/officeDocument/2017/etCustomData" ref="A3:H106" etc:filterBottomFollowUsedRange="0">
    <extLst/>
  </autoFilter>
  <mergeCells count="21">
    <mergeCell ref="A1:H1"/>
    <mergeCell ref="G2:H2"/>
    <mergeCell ref="A108:C108"/>
    <mergeCell ref="A4:A13"/>
    <mergeCell ref="A14:A19"/>
    <mergeCell ref="A20:A22"/>
    <mergeCell ref="A23:A28"/>
    <mergeCell ref="A29:A33"/>
    <mergeCell ref="A34:A36"/>
    <mergeCell ref="A37:A47"/>
    <mergeCell ref="A48:A54"/>
    <mergeCell ref="A55:A60"/>
    <mergeCell ref="A61:A63"/>
    <mergeCell ref="A64:A69"/>
    <mergeCell ref="A70:A74"/>
    <mergeCell ref="A75:A79"/>
    <mergeCell ref="A80:A83"/>
    <mergeCell ref="A84:A91"/>
    <mergeCell ref="A92:A97"/>
    <mergeCell ref="A98:A106"/>
    <mergeCell ref="I29:I33"/>
  </mergeCells>
  <dataValidations count="6">
    <dataValidation type="list" allowBlank="1" showInputMessage="1" showErrorMessage="1" sqref="E4:E106">
      <formula1>"原有,新增,修改,删除"</formula1>
    </dataValidation>
    <dataValidation type="list" allowBlank="1" showInputMessage="1" showErrorMessage="1" sqref="E107:E108">
      <formula1>"新增,修改"</formula1>
    </dataValidation>
    <dataValidation type="list" allowBlank="1" showInputMessage="1" showErrorMessage="1" sqref="F4:F108">
      <formula1>"未商议,已建议,已批准,已设计,已实现,已验证,已删除"</formula1>
    </dataValidation>
    <dataValidation type="list" allowBlank="1" showInputMessage="1" showErrorMessage="1" sqref="G4:G108">
      <formula1>"高,中,低"</formula1>
    </dataValidation>
    <dataValidation type="list" allowBlank="1" showInputMessage="1" showErrorMessage="1" sqref="H4:H106">
      <formula1>"V0.1, V0.2, V0.3, V0.4, 未计划"</formula1>
    </dataValidation>
    <dataValidation type="list" allowBlank="1" showInputMessage="1" showErrorMessage="1" sqref="H107:H108">
      <formula1>"V1.0,V2.0,V3.0"</formula1>
    </dataValidation>
  </dataValidations>
  <printOptions horizontalCentered="1"/>
  <pageMargins left="0.39375" right="0.39375" top="0.471527777777778" bottom="0.471527777777778" header="0.39375" footer="0.39375"/>
  <pageSetup paperSize="9" scale="59" firstPageNumber="4294963191" fitToHeight="2" orientation="portrait" useFirstPageNumber="1"/>
  <headerFooter alignWithMargins="0">
    <oddFooter>&amp;R打印于：&amp;D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92"/>
  <sheetViews>
    <sheetView workbookViewId="0">
      <selection activeCell="A93" sqref="A1:IV65536"/>
    </sheetView>
  </sheetViews>
  <sheetFormatPr defaultColWidth="9" defaultRowHeight="20.1" customHeight="1"/>
  <cols>
    <col min="1" max="1" width="9.625" style="8" customWidth="1"/>
    <col min="2" max="2" width="13.625" style="9" customWidth="1"/>
    <col min="3" max="3" width="9.375" style="9" customWidth="1"/>
    <col min="4" max="4" width="70.625" style="10" customWidth="1"/>
    <col min="5" max="5" width="9.125" style="9" customWidth="1"/>
    <col min="6" max="6" width="10.375" style="9" customWidth="1"/>
    <col min="7" max="7" width="7.625" style="9" customWidth="1"/>
    <col min="8" max="8" width="9.375" style="11" customWidth="1"/>
    <col min="9" max="242" width="9" style="9" customWidth="1"/>
    <col min="243" max="16384" width="9" style="12"/>
  </cols>
  <sheetData>
    <row r="1" s="1" customFormat="1" ht="30" customHeight="1" spans="1:243">
      <c r="A1" s="13" t="s">
        <v>176</v>
      </c>
      <c r="B1" s="14"/>
      <c r="C1" s="14"/>
      <c r="D1" s="14"/>
      <c r="E1" s="14"/>
      <c r="F1" s="14"/>
      <c r="G1" s="14"/>
      <c r="H1" s="14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</row>
    <row r="2" ht="24.95" customHeight="1" spans="1:243">
      <c r="A2" s="12"/>
      <c r="B2" s="16" t="s">
        <v>33</v>
      </c>
      <c r="C2" s="17"/>
      <c r="D2" s="17" t="s">
        <v>34</v>
      </c>
      <c r="E2" s="18"/>
      <c r="F2" s="19" t="s">
        <v>35</v>
      </c>
      <c r="G2" s="20">
        <v>41150</v>
      </c>
      <c r="H2" s="20"/>
    </row>
    <row r="3" s="2" customFormat="1" ht="24.95" customHeight="1" spans="1:243">
      <c r="A3" s="21" t="s">
        <v>36</v>
      </c>
      <c r="B3" s="22" t="s">
        <v>1</v>
      </c>
      <c r="C3" s="22" t="s">
        <v>0</v>
      </c>
      <c r="D3" s="22" t="s">
        <v>2</v>
      </c>
      <c r="E3" s="22" t="s">
        <v>37</v>
      </c>
      <c r="F3" s="22" t="s">
        <v>4</v>
      </c>
      <c r="G3" s="22" t="s">
        <v>5</v>
      </c>
      <c r="H3" s="22" t="s">
        <v>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7"/>
    </row>
    <row r="4" s="3" customFormat="1" ht="24.95" customHeight="1" spans="1:243">
      <c r="A4" s="23" t="s">
        <v>38</v>
      </c>
      <c r="B4" s="24" t="s">
        <v>39</v>
      </c>
      <c r="C4" s="25"/>
      <c r="D4" s="26" t="s">
        <v>40</v>
      </c>
      <c r="E4" s="24" t="s">
        <v>177</v>
      </c>
      <c r="F4" s="24" t="s">
        <v>178</v>
      </c>
      <c r="G4" s="24" t="s">
        <v>179</v>
      </c>
      <c r="H4" s="27" t="s">
        <v>180</v>
      </c>
      <c r="I4" s="3" t="s">
        <v>41</v>
      </c>
      <c r="II4" s="7"/>
    </row>
    <row r="5" s="3" customFormat="1" ht="24.95" customHeight="1" spans="1:243">
      <c r="A5" s="28"/>
      <c r="B5" s="24" t="s">
        <v>46</v>
      </c>
      <c r="C5" s="25"/>
      <c r="D5" s="26" t="s">
        <v>47</v>
      </c>
      <c r="E5" s="24" t="s">
        <v>181</v>
      </c>
      <c r="F5" s="24" t="s">
        <v>182</v>
      </c>
      <c r="G5" s="24" t="s">
        <v>183</v>
      </c>
      <c r="H5" s="27" t="s">
        <v>180</v>
      </c>
      <c r="II5" s="7"/>
    </row>
    <row r="6" s="4" customFormat="1" ht="24.95" customHeight="1" spans="1:243">
      <c r="A6" s="28"/>
      <c r="B6" s="29" t="s">
        <v>48</v>
      </c>
      <c r="C6" s="25"/>
      <c r="D6" s="30" t="s">
        <v>49</v>
      </c>
      <c r="E6" s="29" t="s">
        <v>177</v>
      </c>
      <c r="F6" s="29" t="s">
        <v>178</v>
      </c>
      <c r="G6" s="29" t="s">
        <v>183</v>
      </c>
      <c r="H6" s="31" t="s">
        <v>184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7"/>
    </row>
    <row r="7" s="4" customFormat="1" ht="24.95" customHeight="1" spans="1:243">
      <c r="A7" s="28"/>
      <c r="B7" s="29" t="s">
        <v>50</v>
      </c>
      <c r="C7" s="25"/>
      <c r="D7" s="30" t="s">
        <v>51</v>
      </c>
      <c r="E7" s="29"/>
      <c r="F7" s="29"/>
      <c r="G7" s="29"/>
      <c r="H7" s="3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7"/>
    </row>
    <row r="8" s="4" customFormat="1" ht="24.95" customHeight="1" spans="1:243">
      <c r="A8" s="28"/>
      <c r="B8" s="29" t="s">
        <v>52</v>
      </c>
      <c r="C8" s="25"/>
      <c r="D8" s="30" t="s">
        <v>53</v>
      </c>
      <c r="E8" s="29"/>
      <c r="F8" s="29"/>
      <c r="G8" s="29"/>
      <c r="H8" s="3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7"/>
    </row>
    <row r="9" s="4" customFormat="1" ht="24.95" customHeight="1" spans="1:243">
      <c r="A9" s="28"/>
      <c r="B9" s="29" t="s">
        <v>54</v>
      </c>
      <c r="C9" s="25"/>
      <c r="D9" s="30" t="s">
        <v>55</v>
      </c>
      <c r="E9" s="29"/>
      <c r="F9" s="29"/>
      <c r="G9" s="29"/>
      <c r="H9" s="3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7"/>
    </row>
    <row r="10" s="4" customFormat="1" ht="24.95" customHeight="1" spans="1:243">
      <c r="A10" s="28"/>
      <c r="B10" s="29" t="s">
        <v>56</v>
      </c>
      <c r="C10" s="25"/>
      <c r="D10" s="30" t="s">
        <v>57</v>
      </c>
      <c r="E10" s="29" t="s">
        <v>177</v>
      </c>
      <c r="F10" s="29" t="s">
        <v>182</v>
      </c>
      <c r="G10" s="29" t="s">
        <v>183</v>
      </c>
      <c r="H10" s="31" t="s">
        <v>185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7"/>
    </row>
    <row r="11" s="4" customFormat="1" ht="24.95" customHeight="1" spans="1:243">
      <c r="A11" s="28"/>
      <c r="B11" s="32"/>
      <c r="C11" s="25"/>
      <c r="D11" s="30"/>
      <c r="E11" s="29" t="s">
        <v>181</v>
      </c>
      <c r="F11" s="29" t="s">
        <v>186</v>
      </c>
      <c r="G11" s="29" t="s">
        <v>187</v>
      </c>
      <c r="H11" s="31" t="s">
        <v>175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7"/>
    </row>
    <row r="12" s="4" customFormat="1" ht="24.95" customHeight="1" spans="1:243">
      <c r="A12" s="33" t="s">
        <v>58</v>
      </c>
      <c r="B12" s="32" t="s">
        <v>188</v>
      </c>
      <c r="C12" s="25"/>
      <c r="D12" s="30" t="s">
        <v>189</v>
      </c>
      <c r="E12" s="29"/>
      <c r="F12" s="29"/>
      <c r="G12" s="29"/>
      <c r="H12" s="3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7"/>
    </row>
    <row r="13" s="4" customFormat="1" ht="24.95" customHeight="1" spans="1:243">
      <c r="A13" s="35"/>
      <c r="B13" s="32" t="s">
        <v>61</v>
      </c>
      <c r="C13" s="25"/>
      <c r="D13" s="30" t="s">
        <v>190</v>
      </c>
      <c r="E13" s="29"/>
      <c r="F13" s="29"/>
      <c r="G13" s="29"/>
      <c r="H13" s="3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7"/>
    </row>
    <row r="14" s="4" customFormat="1" ht="24.95" customHeight="1" spans="1:243">
      <c r="A14" s="35"/>
      <c r="B14" s="32" t="s">
        <v>191</v>
      </c>
      <c r="C14" s="25"/>
      <c r="D14" s="30" t="s">
        <v>68</v>
      </c>
      <c r="E14" s="29"/>
      <c r="F14" s="29"/>
      <c r="G14" s="29"/>
      <c r="H14" s="3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7"/>
    </row>
    <row r="15" s="4" customFormat="1" ht="24.95" customHeight="1" spans="1:243">
      <c r="A15" s="35"/>
      <c r="B15" s="32"/>
      <c r="C15" s="25"/>
      <c r="D15" s="30"/>
      <c r="E15" s="29"/>
      <c r="F15" s="29"/>
      <c r="G15" s="29"/>
      <c r="H15" s="3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7"/>
    </row>
    <row r="16" s="4" customFormat="1" ht="24.95" customHeight="1" spans="1:243">
      <c r="A16" s="33" t="s">
        <v>69</v>
      </c>
      <c r="B16" s="32" t="s">
        <v>70</v>
      </c>
      <c r="C16" s="25"/>
      <c r="D16" s="30"/>
      <c r="E16" s="29"/>
      <c r="F16" s="29"/>
      <c r="G16" s="29"/>
      <c r="H16" s="3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7"/>
    </row>
    <row r="17" s="4" customFormat="1" ht="24.95" customHeight="1" spans="1:256">
      <c r="A17" s="35"/>
      <c r="B17" s="32" t="s">
        <v>192</v>
      </c>
      <c r="C17" s="25"/>
      <c r="D17" s="30"/>
      <c r="E17" s="29"/>
      <c r="F17" s="29"/>
      <c r="G17" s="29"/>
      <c r="H17" s="3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7"/>
    </row>
    <row r="18" s="5" customFormat="1" ht="24.95" customHeight="1" spans="1:256">
      <c r="A18" s="36"/>
      <c r="B18" s="29"/>
      <c r="C18" s="25"/>
      <c r="D18" s="30"/>
      <c r="E18" s="29" t="s">
        <v>177</v>
      </c>
      <c r="F18" s="29" t="s">
        <v>178</v>
      </c>
      <c r="G18" s="29" t="s">
        <v>179</v>
      </c>
      <c r="H18" s="34" t="s">
        <v>180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="3" customFormat="1" ht="24.95" customHeight="1" spans="1:256">
      <c r="A19" s="37" t="s">
        <v>72</v>
      </c>
      <c r="B19" s="24" t="s">
        <v>193</v>
      </c>
      <c r="C19" s="25"/>
      <c r="D19" s="26" t="s">
        <v>194</v>
      </c>
      <c r="E19" s="24" t="s">
        <v>177</v>
      </c>
      <c r="F19" s="24" t="s">
        <v>178</v>
      </c>
      <c r="G19" s="24" t="s">
        <v>183</v>
      </c>
      <c r="H19" s="38" t="s">
        <v>180</v>
      </c>
      <c r="II19" s="7"/>
    </row>
    <row r="20" s="3" customFormat="1" ht="24.95" customHeight="1" spans="1:256">
      <c r="A20" s="37"/>
      <c r="B20" s="24" t="s">
        <v>195</v>
      </c>
      <c r="C20" s="25"/>
      <c r="D20" s="26" t="s">
        <v>77</v>
      </c>
      <c r="E20" s="24" t="s">
        <v>177</v>
      </c>
      <c r="F20" s="24" t="s">
        <v>178</v>
      </c>
      <c r="G20" s="24" t="s">
        <v>183</v>
      </c>
      <c r="H20" s="27" t="s">
        <v>180</v>
      </c>
      <c r="II20" s="7"/>
    </row>
    <row r="21" s="3" customFormat="1" ht="24.95" customHeight="1" spans="1:256">
      <c r="A21" s="37"/>
      <c r="B21" s="24" t="s">
        <v>78</v>
      </c>
      <c r="C21" s="25"/>
      <c r="D21" s="26" t="s">
        <v>79</v>
      </c>
      <c r="E21" s="24" t="s">
        <v>177</v>
      </c>
      <c r="F21" s="24" t="s">
        <v>178</v>
      </c>
      <c r="G21" s="24" t="s">
        <v>183</v>
      </c>
      <c r="H21" s="27" t="s">
        <v>180</v>
      </c>
      <c r="II21" s="7"/>
    </row>
    <row r="22" s="3" customFormat="1" ht="24.95" customHeight="1" spans="1:256">
      <c r="A22" s="37"/>
      <c r="B22" s="24" t="s">
        <v>80</v>
      </c>
      <c r="C22" s="25"/>
      <c r="D22" s="26" t="s">
        <v>81</v>
      </c>
      <c r="E22" s="24" t="s">
        <v>181</v>
      </c>
      <c r="F22" s="24" t="s">
        <v>186</v>
      </c>
      <c r="G22" s="24" t="s">
        <v>187</v>
      </c>
      <c r="H22" s="27" t="s">
        <v>175</v>
      </c>
      <c r="II22" s="7"/>
    </row>
    <row r="23" s="3" customFormat="1" ht="24.95" customHeight="1" spans="1:256">
      <c r="A23" s="37"/>
      <c r="B23" s="24" t="s">
        <v>82</v>
      </c>
      <c r="C23" s="25"/>
      <c r="D23" s="26" t="s">
        <v>83</v>
      </c>
      <c r="E23" s="24" t="s">
        <v>177</v>
      </c>
      <c r="F23" s="24" t="s">
        <v>178</v>
      </c>
      <c r="G23" s="24" t="s">
        <v>183</v>
      </c>
      <c r="H23" s="27" t="s">
        <v>180</v>
      </c>
      <c r="II23" s="7"/>
    </row>
    <row r="24" s="5" customFormat="1" ht="24.95" customHeight="1" spans="1:256">
      <c r="A24" s="39" t="s">
        <v>84</v>
      </c>
      <c r="B24" s="29" t="s">
        <v>85</v>
      </c>
      <c r="C24" s="25"/>
      <c r="D24" s="30" t="s">
        <v>196</v>
      </c>
      <c r="E24" s="29" t="s">
        <v>181</v>
      </c>
      <c r="F24" s="29" t="s">
        <v>182</v>
      </c>
      <c r="G24" s="40" t="s">
        <v>179</v>
      </c>
      <c r="H24" s="31" t="s">
        <v>180</v>
      </c>
      <c r="I24" s="41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25" s="5" customFormat="1" ht="24.95" customHeight="1" spans="1:256">
      <c r="A25" s="39"/>
      <c r="B25" s="29" t="s">
        <v>87</v>
      </c>
      <c r="C25" s="25"/>
      <c r="D25" s="30" t="s">
        <v>197</v>
      </c>
      <c r="E25" s="29"/>
      <c r="F25" s="29"/>
      <c r="G25" s="40"/>
      <c r="H25" s="31"/>
      <c r="I25" s="4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</row>
    <row r="26" s="5" customFormat="1" ht="24.95" customHeight="1" spans="1:256">
      <c r="A26" s="39"/>
      <c r="B26" s="29" t="s">
        <v>89</v>
      </c>
      <c r="C26" s="25"/>
      <c r="D26" s="30" t="s">
        <v>90</v>
      </c>
      <c r="E26" s="29" t="s">
        <v>181</v>
      </c>
      <c r="F26" s="29" t="s">
        <v>182</v>
      </c>
      <c r="G26" s="40" t="s">
        <v>183</v>
      </c>
      <c r="H26" s="31" t="s">
        <v>180</v>
      </c>
      <c r="I26" s="4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</row>
    <row r="27" s="5" customFormat="1" ht="24.95" customHeight="1" spans="1:256">
      <c r="A27" s="39"/>
      <c r="B27" s="29" t="s">
        <v>91</v>
      </c>
      <c r="C27" s="25"/>
      <c r="D27" s="30" t="s">
        <v>92</v>
      </c>
      <c r="E27" s="29" t="s">
        <v>181</v>
      </c>
      <c r="F27" s="29" t="s">
        <v>182</v>
      </c>
      <c r="G27" s="40" t="s">
        <v>183</v>
      </c>
      <c r="H27" s="31" t="s">
        <v>180</v>
      </c>
      <c r="I27" s="41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</row>
    <row r="28" s="5" customFormat="1" ht="24.95" customHeight="1" spans="1:256">
      <c r="A28" s="39"/>
      <c r="B28" s="29"/>
      <c r="C28" s="25"/>
      <c r="D28" s="30"/>
      <c r="E28" s="29" t="s">
        <v>181</v>
      </c>
      <c r="F28" s="29" t="s">
        <v>182</v>
      </c>
      <c r="G28" s="40" t="s">
        <v>183</v>
      </c>
      <c r="H28" s="31" t="s">
        <v>184</v>
      </c>
      <c r="I28" s="4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</row>
    <row r="29" s="3" customFormat="1" ht="24.95" customHeight="1" spans="1:256">
      <c r="A29" s="37" t="s">
        <v>100</v>
      </c>
      <c r="B29" s="37" t="s">
        <v>101</v>
      </c>
      <c r="C29" s="25"/>
      <c r="D29" s="26" t="s">
        <v>102</v>
      </c>
      <c r="E29" s="24" t="s">
        <v>177</v>
      </c>
      <c r="F29" s="24" t="s">
        <v>178</v>
      </c>
      <c r="G29" s="24" t="s">
        <v>179</v>
      </c>
      <c r="H29" s="27" t="s">
        <v>184</v>
      </c>
      <c r="II29" s="7"/>
    </row>
    <row r="30" s="3" customFormat="1" ht="24.95" customHeight="1" spans="1:256">
      <c r="A30" s="37"/>
      <c r="B30" s="37" t="s">
        <v>103</v>
      </c>
      <c r="C30" s="25"/>
      <c r="D30" s="26" t="s">
        <v>198</v>
      </c>
      <c r="E30" s="24"/>
      <c r="F30" s="24"/>
      <c r="G30" s="24"/>
      <c r="H30" s="27"/>
      <c r="II30" s="7"/>
    </row>
    <row r="31" s="3" customFormat="1" ht="24.95" customHeight="1" spans="1:256">
      <c r="A31" s="37"/>
      <c r="B31" s="37" t="s">
        <v>105</v>
      </c>
      <c r="C31" s="25"/>
      <c r="D31" s="26" t="s">
        <v>106</v>
      </c>
      <c r="E31" s="24"/>
      <c r="F31" s="24"/>
      <c r="G31" s="24"/>
      <c r="H31" s="27"/>
      <c r="II31" s="7"/>
    </row>
    <row r="32" s="3" customFormat="1" ht="24.95" customHeight="1" spans="1:256">
      <c r="A32" s="37"/>
      <c r="B32" s="37" t="s">
        <v>107</v>
      </c>
      <c r="C32" s="25"/>
      <c r="D32" s="26" t="s">
        <v>199</v>
      </c>
      <c r="E32" s="24" t="s">
        <v>181</v>
      </c>
      <c r="F32" s="24" t="s">
        <v>186</v>
      </c>
      <c r="G32" s="24" t="s">
        <v>183</v>
      </c>
      <c r="H32" s="27" t="s">
        <v>184</v>
      </c>
      <c r="II32" s="7"/>
    </row>
    <row r="33" s="3" customFormat="1" ht="24.95" customHeight="1" spans="1:256">
      <c r="A33" s="37"/>
      <c r="B33" s="37" t="s">
        <v>111</v>
      </c>
      <c r="C33" s="25"/>
      <c r="D33" s="26" t="s">
        <v>112</v>
      </c>
      <c r="E33" s="24"/>
      <c r="F33" s="24"/>
      <c r="G33" s="24"/>
      <c r="H33" s="27"/>
      <c r="II33" s="7"/>
    </row>
    <row r="34" s="3" customFormat="1" ht="24.95" customHeight="1" spans="1:256">
      <c r="A34" s="37"/>
      <c r="B34" s="37" t="s">
        <v>113</v>
      </c>
      <c r="C34" s="25"/>
      <c r="D34" s="26" t="s">
        <v>114</v>
      </c>
      <c r="E34" s="24"/>
      <c r="F34" s="24"/>
      <c r="G34" s="24"/>
      <c r="H34" s="27"/>
      <c r="II34" s="7"/>
    </row>
    <row r="35" s="3" customFormat="1" ht="24.95" customHeight="1" spans="1:256">
      <c r="A35" s="37"/>
      <c r="B35" s="37" t="s">
        <v>109</v>
      </c>
      <c r="C35" s="25"/>
      <c r="D35" s="26" t="s">
        <v>200</v>
      </c>
      <c r="E35" s="24"/>
      <c r="F35" s="24"/>
      <c r="G35" s="24"/>
      <c r="H35" s="27"/>
      <c r="II35" s="7"/>
    </row>
    <row r="36" s="3" customFormat="1" ht="24.95" customHeight="1" spans="1:256">
      <c r="A36" s="37"/>
      <c r="B36" s="37" t="s">
        <v>115</v>
      </c>
      <c r="C36" s="25"/>
      <c r="D36" s="26" t="s">
        <v>201</v>
      </c>
      <c r="E36" s="24" t="s">
        <v>181</v>
      </c>
      <c r="F36" s="24" t="s">
        <v>182</v>
      </c>
      <c r="G36" s="24" t="s">
        <v>183</v>
      </c>
      <c r="H36" s="27" t="s">
        <v>185</v>
      </c>
      <c r="II36" s="7"/>
    </row>
    <row r="37" s="6" customFormat="1" ht="24.95" customHeight="1" spans="1:256">
      <c r="A37" s="37"/>
      <c r="B37" s="24" t="s">
        <v>117</v>
      </c>
      <c r="C37" s="25"/>
      <c r="D37" s="26" t="s">
        <v>202</v>
      </c>
      <c r="E37" s="24" t="s">
        <v>203</v>
      </c>
      <c r="F37" s="24" t="s">
        <v>178</v>
      </c>
      <c r="G37" s="24" t="s">
        <v>183</v>
      </c>
      <c r="H37" s="27" t="s">
        <v>184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</row>
    <row r="38" s="6" customFormat="1" ht="24.95" customHeight="1" spans="1:256">
      <c r="A38" s="37"/>
      <c r="B38" s="24" t="s">
        <v>119</v>
      </c>
      <c r="C38" s="25"/>
      <c r="D38" s="26" t="s">
        <v>204</v>
      </c>
      <c r="E38" s="24"/>
      <c r="F38" s="24"/>
      <c r="G38" s="24"/>
      <c r="H38" s="2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</row>
    <row r="39" s="3" customFormat="1" ht="29.1" customHeight="1" spans="1:256">
      <c r="A39" s="37"/>
      <c r="B39" s="24"/>
      <c r="C39" s="25"/>
      <c r="D39" s="26"/>
      <c r="E39" s="24" t="s">
        <v>177</v>
      </c>
      <c r="F39" s="24" t="s">
        <v>182</v>
      </c>
      <c r="G39" s="24" t="s">
        <v>179</v>
      </c>
      <c r="H39" s="27" t="s">
        <v>184</v>
      </c>
      <c r="II39" s="7"/>
    </row>
    <row r="40" s="3" customFormat="1" ht="24.95" hidden="1" customHeight="1" spans="1:256">
      <c r="A40" s="37" t="s">
        <v>121</v>
      </c>
      <c r="B40" s="37" t="s">
        <v>122</v>
      </c>
      <c r="C40" s="25"/>
      <c r="D40" s="30" t="s">
        <v>123</v>
      </c>
      <c r="E40" s="24" t="s">
        <v>177</v>
      </c>
      <c r="F40" s="29" t="s">
        <v>178</v>
      </c>
      <c r="G40" s="29" t="s">
        <v>183</v>
      </c>
      <c r="H40" s="31" t="s">
        <v>184</v>
      </c>
      <c r="II40" s="7"/>
    </row>
    <row r="41" s="3" customFormat="1" ht="24.95" hidden="1" customHeight="1" spans="1:256">
      <c r="A41" s="37"/>
      <c r="B41" s="37" t="s">
        <v>124</v>
      </c>
      <c r="C41" s="25"/>
      <c r="D41" s="42" t="s">
        <v>125</v>
      </c>
      <c r="E41" s="29" t="s">
        <v>181</v>
      </c>
      <c r="F41" s="29" t="s">
        <v>182</v>
      </c>
      <c r="G41" s="29" t="s">
        <v>187</v>
      </c>
      <c r="H41" s="31" t="s">
        <v>184</v>
      </c>
      <c r="II41" s="7"/>
    </row>
    <row r="42" s="3" customFormat="1" ht="24.95" customHeight="1" spans="1:256">
      <c r="A42" s="37"/>
      <c r="B42" s="37" t="s">
        <v>126</v>
      </c>
      <c r="C42" s="25"/>
      <c r="D42" s="26" t="s">
        <v>205</v>
      </c>
      <c r="E42" s="24" t="s">
        <v>206</v>
      </c>
      <c r="F42" s="24" t="s">
        <v>207</v>
      </c>
      <c r="G42" s="24" t="s">
        <v>187</v>
      </c>
      <c r="H42" s="27" t="s">
        <v>175</v>
      </c>
      <c r="II42" s="7"/>
    </row>
    <row r="43" s="3" customFormat="1" ht="24.95" customHeight="1" spans="1:256">
      <c r="A43" s="37"/>
      <c r="B43" s="37" t="s">
        <v>128</v>
      </c>
      <c r="C43" s="25"/>
      <c r="D43" s="26" t="s">
        <v>208</v>
      </c>
      <c r="E43" s="24" t="s">
        <v>181</v>
      </c>
      <c r="F43" s="24" t="s">
        <v>182</v>
      </c>
      <c r="G43" s="24" t="s">
        <v>183</v>
      </c>
      <c r="H43" s="27" t="s">
        <v>184</v>
      </c>
      <c r="II43" s="7"/>
    </row>
    <row r="44" s="6" customFormat="1" ht="24.95" customHeight="1" spans="1:256">
      <c r="A44" s="37"/>
      <c r="B44" s="37" t="s">
        <v>130</v>
      </c>
      <c r="C44" s="25"/>
      <c r="D44" s="26" t="s">
        <v>140</v>
      </c>
      <c r="E44" s="24" t="s">
        <v>206</v>
      </c>
      <c r="F44" s="24" t="s">
        <v>186</v>
      </c>
      <c r="G44" s="24" t="s">
        <v>187</v>
      </c>
      <c r="H44" s="27" t="s">
        <v>175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</row>
    <row r="45" s="6" customFormat="1" ht="24.95" customHeight="1" spans="1:256">
      <c r="A45" s="37"/>
      <c r="B45" s="37" t="s">
        <v>132</v>
      </c>
      <c r="C45" s="25"/>
      <c r="D45" s="26" t="s">
        <v>133</v>
      </c>
      <c r="E45" s="24" t="s">
        <v>181</v>
      </c>
      <c r="F45" s="24" t="s">
        <v>186</v>
      </c>
      <c r="G45" s="24" t="s">
        <v>187</v>
      </c>
      <c r="H45" s="27" t="s">
        <v>175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="3" customFormat="1" ht="24.95" customHeight="1" spans="1:256">
      <c r="A46" s="37" t="s">
        <v>134</v>
      </c>
      <c r="B46" s="24" t="s">
        <v>135</v>
      </c>
      <c r="C46" s="25"/>
      <c r="D46" s="26" t="s">
        <v>209</v>
      </c>
      <c r="E46" s="24" t="s">
        <v>181</v>
      </c>
      <c r="F46" s="24" t="s">
        <v>182</v>
      </c>
      <c r="G46" s="24" t="s">
        <v>183</v>
      </c>
      <c r="H46" s="27" t="s">
        <v>180</v>
      </c>
    </row>
    <row r="47" s="3" customFormat="1" ht="24.95" customHeight="1" spans="1:256">
      <c r="A47" s="37"/>
      <c r="B47" s="37" t="s">
        <v>210</v>
      </c>
      <c r="C47" s="25"/>
      <c r="D47" s="43" t="s">
        <v>211</v>
      </c>
      <c r="E47" s="24" t="s">
        <v>177</v>
      </c>
      <c r="F47" s="24" t="s">
        <v>182</v>
      </c>
      <c r="G47" s="24" t="s">
        <v>183</v>
      </c>
      <c r="H47" s="27" t="s">
        <v>180</v>
      </c>
    </row>
    <row r="48" s="3" customFormat="1" ht="24.95" customHeight="1" spans="1:256">
      <c r="A48" s="37"/>
      <c r="B48" s="37" t="s">
        <v>139</v>
      </c>
      <c r="C48" s="25"/>
      <c r="D48" s="43" t="s">
        <v>212</v>
      </c>
      <c r="E48" s="24" t="s">
        <v>181</v>
      </c>
      <c r="F48" s="24" t="s">
        <v>182</v>
      </c>
      <c r="G48" s="24" t="s">
        <v>183</v>
      </c>
      <c r="H48" s="27" t="s">
        <v>180</v>
      </c>
    </row>
    <row r="49" s="3" customFormat="1" ht="24.95" customHeight="1" spans="1:243">
      <c r="A49" s="37"/>
      <c r="B49" s="24"/>
      <c r="C49" s="25"/>
      <c r="D49" s="26" t="s">
        <v>213</v>
      </c>
      <c r="E49" s="24" t="s">
        <v>181</v>
      </c>
      <c r="F49" s="24" t="s">
        <v>182</v>
      </c>
      <c r="G49" s="24" t="s">
        <v>187</v>
      </c>
      <c r="H49" s="27" t="s">
        <v>184</v>
      </c>
    </row>
    <row r="50" s="3" customFormat="1" ht="24.95" customHeight="1" spans="1:243">
      <c r="A50" s="37"/>
      <c r="B50" s="24"/>
      <c r="C50" s="25"/>
      <c r="D50" s="26" t="s">
        <v>214</v>
      </c>
      <c r="E50" s="24" t="s">
        <v>181</v>
      </c>
      <c r="F50" s="24" t="s">
        <v>182</v>
      </c>
      <c r="G50" s="24" t="s">
        <v>187</v>
      </c>
      <c r="H50" s="27" t="s">
        <v>184</v>
      </c>
    </row>
    <row r="51" s="3" customFormat="1" ht="24.95" customHeight="1" spans="1:243">
      <c r="A51" s="37"/>
      <c r="B51" s="24"/>
      <c r="C51" s="25"/>
      <c r="D51" s="26" t="s">
        <v>215</v>
      </c>
      <c r="E51" s="24" t="s">
        <v>206</v>
      </c>
      <c r="F51" s="24" t="s">
        <v>207</v>
      </c>
      <c r="G51" s="24" t="s">
        <v>187</v>
      </c>
      <c r="H51" s="27" t="s">
        <v>175</v>
      </c>
    </row>
    <row r="52" s="3" customFormat="1" ht="24.95" customHeight="1" spans="1:243">
      <c r="A52" s="23" t="s">
        <v>145</v>
      </c>
      <c r="B52" s="24" t="s">
        <v>146</v>
      </c>
      <c r="C52" s="25"/>
      <c r="D52" s="26" t="s">
        <v>216</v>
      </c>
      <c r="E52" s="24" t="s">
        <v>177</v>
      </c>
      <c r="F52" s="24" t="s">
        <v>178</v>
      </c>
      <c r="G52" s="24" t="s">
        <v>183</v>
      </c>
      <c r="H52" s="27" t="s">
        <v>184</v>
      </c>
    </row>
    <row r="53" s="3" customFormat="1" ht="24.95" customHeight="1" spans="1:243">
      <c r="A53" s="28"/>
      <c r="B53" s="24" t="s">
        <v>217</v>
      </c>
      <c r="C53" s="25"/>
      <c r="D53" s="26" t="s">
        <v>218</v>
      </c>
      <c r="E53" s="24" t="s">
        <v>181</v>
      </c>
      <c r="F53" s="24" t="s">
        <v>182</v>
      </c>
      <c r="G53" s="24" t="s">
        <v>183</v>
      </c>
      <c r="H53" s="27" t="s">
        <v>184</v>
      </c>
    </row>
    <row r="54" s="3" customFormat="1" ht="24.95" customHeight="1" spans="1:243">
      <c r="A54" s="28"/>
      <c r="B54" s="24"/>
      <c r="C54" s="25"/>
      <c r="D54" s="26" t="s">
        <v>219</v>
      </c>
      <c r="E54" s="24" t="s">
        <v>181</v>
      </c>
      <c r="F54" s="24" t="s">
        <v>186</v>
      </c>
      <c r="G54" s="24" t="s">
        <v>183</v>
      </c>
      <c r="H54" s="27" t="s">
        <v>184</v>
      </c>
    </row>
    <row r="55" s="3" customFormat="1" ht="24.95" customHeight="1" spans="1:243">
      <c r="A55" s="28"/>
      <c r="B55" s="24"/>
      <c r="C55" s="25"/>
      <c r="D55" s="26" t="s">
        <v>220</v>
      </c>
      <c r="E55" s="24" t="s">
        <v>181</v>
      </c>
      <c r="F55" s="24" t="s">
        <v>182</v>
      </c>
      <c r="G55" s="24" t="s">
        <v>183</v>
      </c>
      <c r="H55" s="27" t="s">
        <v>184</v>
      </c>
    </row>
    <row r="56" s="3" customFormat="1" ht="24.95" customHeight="1" spans="1:243">
      <c r="A56" s="28"/>
      <c r="B56" s="24"/>
      <c r="C56" s="25"/>
      <c r="D56" s="26" t="s">
        <v>221</v>
      </c>
      <c r="E56" s="24" t="s">
        <v>181</v>
      </c>
      <c r="F56" s="24" t="s">
        <v>186</v>
      </c>
      <c r="G56" s="24" t="s">
        <v>183</v>
      </c>
      <c r="H56" s="27" t="s">
        <v>184</v>
      </c>
    </row>
    <row r="57" s="3" customFormat="1" ht="24.95" customHeight="1" spans="1:243">
      <c r="A57" s="28"/>
      <c r="B57" s="24"/>
      <c r="C57" s="25"/>
      <c r="D57" s="26"/>
      <c r="E57" s="24"/>
      <c r="F57" s="24"/>
      <c r="G57" s="24"/>
      <c r="H57" s="27"/>
    </row>
    <row r="58" s="3" customFormat="1" ht="24.95" customHeight="1" spans="1:243">
      <c r="A58" s="23" t="s">
        <v>152</v>
      </c>
      <c r="B58" s="24"/>
      <c r="C58" s="25"/>
      <c r="D58" s="26"/>
      <c r="E58" s="24"/>
      <c r="F58" s="24"/>
      <c r="G58" s="24"/>
      <c r="H58" s="27"/>
    </row>
    <row r="59" s="3" customFormat="1" ht="24.95" customHeight="1" spans="1:243">
      <c r="A59" s="28"/>
      <c r="B59" s="24"/>
      <c r="C59" s="25"/>
      <c r="D59" s="26"/>
      <c r="E59" s="24"/>
      <c r="F59" s="24"/>
      <c r="G59" s="24"/>
      <c r="H59" s="27"/>
    </row>
    <row r="60" s="3" customFormat="1" ht="24.95" customHeight="1" spans="1:243">
      <c r="A60" s="44"/>
      <c r="B60" s="24"/>
      <c r="C60" s="25"/>
      <c r="D60" s="26" t="s">
        <v>157</v>
      </c>
      <c r="E60" s="24" t="s">
        <v>181</v>
      </c>
      <c r="F60" s="24" t="s">
        <v>186</v>
      </c>
      <c r="G60" s="24" t="s">
        <v>187</v>
      </c>
      <c r="H60" s="27" t="s">
        <v>175</v>
      </c>
    </row>
    <row r="61" s="3" customFormat="1" ht="24.95" customHeight="1" spans="1:243">
      <c r="A61" s="37" t="s">
        <v>222</v>
      </c>
      <c r="B61" s="24" t="s">
        <v>223</v>
      </c>
      <c r="C61" s="25"/>
      <c r="D61" s="26" t="s">
        <v>224</v>
      </c>
      <c r="E61" s="24" t="s">
        <v>203</v>
      </c>
      <c r="F61" s="24" t="s">
        <v>182</v>
      </c>
      <c r="G61" s="24" t="s">
        <v>183</v>
      </c>
      <c r="H61" s="27" t="s">
        <v>225</v>
      </c>
      <c r="II61" s="7"/>
    </row>
    <row r="62" s="3" customFormat="1" ht="27" spans="1:243">
      <c r="A62" s="37"/>
      <c r="B62" s="45"/>
      <c r="C62" s="46"/>
      <c r="D62" s="26" t="s">
        <v>226</v>
      </c>
      <c r="E62" s="24" t="s">
        <v>181</v>
      </c>
      <c r="F62" s="24" t="s">
        <v>182</v>
      </c>
      <c r="G62" s="24" t="s">
        <v>179</v>
      </c>
      <c r="H62" s="27" t="s">
        <v>185</v>
      </c>
      <c r="II62" s="7"/>
    </row>
    <row r="63" s="3" customFormat="1" ht="24.95" customHeight="1" spans="1:243">
      <c r="A63" s="37"/>
      <c r="B63" s="45"/>
      <c r="C63" s="46"/>
      <c r="D63" s="26" t="s">
        <v>227</v>
      </c>
      <c r="E63" s="24" t="s">
        <v>181</v>
      </c>
      <c r="F63" s="24" t="s">
        <v>186</v>
      </c>
      <c r="G63" s="24" t="s">
        <v>179</v>
      </c>
      <c r="H63" s="27" t="s">
        <v>184</v>
      </c>
      <c r="II63" s="7"/>
    </row>
    <row r="64" s="3" customFormat="1" ht="24.95" customHeight="1" spans="1:243">
      <c r="A64" s="37"/>
      <c r="B64" s="45"/>
      <c r="C64" s="46"/>
      <c r="D64" s="26" t="s">
        <v>228</v>
      </c>
      <c r="E64" s="24" t="s">
        <v>181</v>
      </c>
      <c r="F64" s="24" t="s">
        <v>186</v>
      </c>
      <c r="G64" s="24" t="s">
        <v>187</v>
      </c>
      <c r="H64" s="27" t="s">
        <v>175</v>
      </c>
      <c r="II64" s="7"/>
    </row>
    <row r="65" s="3" customFormat="1" ht="24.95" customHeight="1" spans="1:256">
      <c r="A65" s="37"/>
      <c r="B65" s="24"/>
      <c r="C65" s="25"/>
      <c r="D65" s="26" t="s">
        <v>229</v>
      </c>
      <c r="E65" s="24" t="s">
        <v>181</v>
      </c>
      <c r="F65" s="24" t="s">
        <v>182</v>
      </c>
      <c r="G65" s="24" t="s">
        <v>183</v>
      </c>
      <c r="H65" s="27" t="s">
        <v>225</v>
      </c>
      <c r="II65" s="7"/>
    </row>
    <row r="66" s="3" customFormat="1" ht="113.25" spans="1:256">
      <c r="A66" s="37" t="s">
        <v>230</v>
      </c>
      <c r="B66" s="24" t="s">
        <v>231</v>
      </c>
      <c r="C66" s="25"/>
      <c r="D66" s="26" t="s">
        <v>232</v>
      </c>
      <c r="E66" s="24" t="s">
        <v>203</v>
      </c>
      <c r="F66" s="24" t="s">
        <v>186</v>
      </c>
      <c r="G66" s="24" t="s">
        <v>183</v>
      </c>
      <c r="H66" s="27" t="s">
        <v>185</v>
      </c>
      <c r="II66" s="7"/>
    </row>
    <row r="67" s="3" customFormat="1" ht="24.95" customHeight="1" spans="1:256">
      <c r="A67" s="37"/>
      <c r="B67" s="24" t="s">
        <v>233</v>
      </c>
      <c r="C67" s="25"/>
      <c r="D67" s="26" t="s">
        <v>234</v>
      </c>
      <c r="E67" s="24" t="s">
        <v>203</v>
      </c>
      <c r="F67" s="24" t="s">
        <v>182</v>
      </c>
      <c r="G67" s="24" t="s">
        <v>187</v>
      </c>
      <c r="H67" s="27" t="s">
        <v>185</v>
      </c>
      <c r="II67" s="7"/>
    </row>
    <row r="68" s="3" customFormat="1" ht="24.95" customHeight="1" spans="1:256">
      <c r="A68" s="37"/>
      <c r="B68" s="47" t="s">
        <v>235</v>
      </c>
      <c r="C68" s="25"/>
      <c r="D68" s="26" t="s">
        <v>236</v>
      </c>
      <c r="E68" s="24" t="s">
        <v>177</v>
      </c>
      <c r="F68" s="24" t="s">
        <v>182</v>
      </c>
      <c r="G68" s="24" t="s">
        <v>183</v>
      </c>
      <c r="H68" s="27" t="s">
        <v>185</v>
      </c>
      <c r="II68" s="7"/>
    </row>
    <row r="69" s="6" customFormat="1" ht="24.95" customHeight="1" spans="1:256">
      <c r="A69" s="37"/>
      <c r="B69" s="27" t="s">
        <v>237</v>
      </c>
      <c r="C69" s="25"/>
      <c r="D69" s="48" t="s">
        <v>238</v>
      </c>
      <c r="E69" s="24" t="s">
        <v>181</v>
      </c>
      <c r="F69" s="24" t="s">
        <v>186</v>
      </c>
      <c r="G69" s="24" t="s">
        <v>183</v>
      </c>
      <c r="H69" s="27" t="s">
        <v>185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</row>
    <row r="70" s="3" customFormat="1" ht="24.95" customHeight="1" spans="1:256">
      <c r="A70" s="37" t="s">
        <v>239</v>
      </c>
      <c r="B70" s="24" t="s">
        <v>240</v>
      </c>
      <c r="C70" s="25"/>
      <c r="D70" s="49" t="s">
        <v>241</v>
      </c>
      <c r="E70" s="24" t="s">
        <v>181</v>
      </c>
      <c r="F70" s="24" t="s">
        <v>182</v>
      </c>
      <c r="G70" s="24" t="s">
        <v>183</v>
      </c>
      <c r="H70" s="27" t="s">
        <v>185</v>
      </c>
      <c r="II70" s="7"/>
    </row>
    <row r="71" s="6" customFormat="1" ht="24.95" customHeight="1" spans="1:256">
      <c r="A71" s="37"/>
      <c r="B71" s="24" t="s">
        <v>242</v>
      </c>
      <c r="C71" s="25"/>
      <c r="D71" s="26" t="s">
        <v>243</v>
      </c>
      <c r="E71" s="24" t="s">
        <v>181</v>
      </c>
      <c r="F71" s="24" t="s">
        <v>182</v>
      </c>
      <c r="G71" s="24" t="s">
        <v>179</v>
      </c>
      <c r="H71" s="27" t="s">
        <v>185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</row>
    <row r="72" s="6" customFormat="1" ht="24.95" customHeight="1" spans="1:256">
      <c r="A72" s="37"/>
      <c r="B72" s="24" t="s">
        <v>244</v>
      </c>
      <c r="C72" s="25"/>
      <c r="D72" s="50" t="s">
        <v>245</v>
      </c>
      <c r="E72" s="24" t="s">
        <v>177</v>
      </c>
      <c r="F72" s="24" t="s">
        <v>182</v>
      </c>
      <c r="G72" s="24" t="s">
        <v>183</v>
      </c>
      <c r="H72" s="27" t="s">
        <v>184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</row>
    <row r="73" s="6" customFormat="1" ht="170.25" spans="1:256">
      <c r="A73" s="37"/>
      <c r="B73" s="24" t="s">
        <v>246</v>
      </c>
      <c r="C73" s="25"/>
      <c r="D73" s="51" t="s">
        <v>247</v>
      </c>
      <c r="E73" s="24" t="s">
        <v>177</v>
      </c>
      <c r="F73" s="24" t="s">
        <v>182</v>
      </c>
      <c r="G73" s="24" t="s">
        <v>183</v>
      </c>
      <c r="H73" s="27" t="s">
        <v>185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</row>
    <row r="74" s="6" customFormat="1" ht="24.95" customHeight="1" spans="1:256">
      <c r="A74" s="37"/>
      <c r="B74" s="24" t="s">
        <v>248</v>
      </c>
      <c r="C74" s="25"/>
      <c r="D74" s="50" t="s">
        <v>249</v>
      </c>
      <c r="E74" s="24" t="s">
        <v>181</v>
      </c>
      <c r="F74" s="24" t="s">
        <v>182</v>
      </c>
      <c r="G74" s="24" t="s">
        <v>183</v>
      </c>
      <c r="H74" s="27" t="s">
        <v>184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</row>
    <row r="75" s="6" customFormat="1" ht="24.95" customHeight="1" spans="1:256">
      <c r="A75" s="37"/>
      <c r="B75" s="24" t="s">
        <v>250</v>
      </c>
      <c r="C75" s="25"/>
      <c r="D75" s="26" t="s">
        <v>251</v>
      </c>
      <c r="E75" s="24" t="s">
        <v>181</v>
      </c>
      <c r="F75" s="24" t="s">
        <v>182</v>
      </c>
      <c r="G75" s="24" t="s">
        <v>183</v>
      </c>
      <c r="H75" s="27" t="s">
        <v>184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</row>
    <row r="76" s="6" customFormat="1" ht="24.95" customHeight="1" spans="1:256">
      <c r="A76" s="37"/>
      <c r="B76" s="24" t="s">
        <v>252</v>
      </c>
      <c r="C76" s="25"/>
      <c r="D76" s="26" t="s">
        <v>253</v>
      </c>
      <c r="E76" s="24" t="s">
        <v>177</v>
      </c>
      <c r="F76" s="24" t="s">
        <v>178</v>
      </c>
      <c r="G76" s="24" t="s">
        <v>183</v>
      </c>
      <c r="H76" s="27" t="s">
        <v>184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</row>
    <row r="77" s="6" customFormat="1" ht="70.5" spans="1:256">
      <c r="A77" s="37"/>
      <c r="B77" s="24" t="s">
        <v>254</v>
      </c>
      <c r="C77" s="25"/>
      <c r="D77" s="26" t="s">
        <v>255</v>
      </c>
      <c r="E77" s="24" t="s">
        <v>181</v>
      </c>
      <c r="F77" s="24" t="s">
        <v>186</v>
      </c>
      <c r="G77" s="24" t="s">
        <v>187</v>
      </c>
      <c r="H77" s="27" t="s">
        <v>175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</row>
    <row r="78" s="3" customFormat="1" ht="30" customHeight="1" spans="1:256">
      <c r="A78" s="37" t="s">
        <v>256</v>
      </c>
      <c r="B78" s="24" t="s">
        <v>257</v>
      </c>
      <c r="C78" s="25"/>
      <c r="D78" s="26" t="s">
        <v>258</v>
      </c>
      <c r="E78" s="24" t="s">
        <v>181</v>
      </c>
      <c r="F78" s="24" t="s">
        <v>182</v>
      </c>
      <c r="G78" s="24" t="s">
        <v>183</v>
      </c>
      <c r="H78" s="27" t="s">
        <v>184</v>
      </c>
      <c r="II78" s="7"/>
    </row>
    <row r="79" s="3" customFormat="1" ht="24.95" customHeight="1" spans="1:256">
      <c r="A79" s="37"/>
      <c r="B79" s="24" t="s">
        <v>259</v>
      </c>
      <c r="C79" s="25"/>
      <c r="D79" s="26" t="s">
        <v>260</v>
      </c>
      <c r="E79" s="24" t="s">
        <v>181</v>
      </c>
      <c r="F79" s="24" t="s">
        <v>182</v>
      </c>
      <c r="G79" s="24" t="s">
        <v>183</v>
      </c>
      <c r="H79" s="27" t="s">
        <v>184</v>
      </c>
      <c r="II79" s="7"/>
    </row>
    <row r="80" s="6" customFormat="1" ht="24.95" customHeight="1" spans="1:256">
      <c r="A80" s="37"/>
      <c r="B80" s="24" t="s">
        <v>261</v>
      </c>
      <c r="C80" s="25"/>
      <c r="D80" s="52" t="s">
        <v>262</v>
      </c>
      <c r="E80" s="24" t="s">
        <v>181</v>
      </c>
      <c r="F80" s="24" t="s">
        <v>182</v>
      </c>
      <c r="G80" s="24" t="s">
        <v>183</v>
      </c>
      <c r="H80" s="27" t="s">
        <v>184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</row>
    <row r="81" s="3" customFormat="1" ht="198.75" spans="1:256">
      <c r="A81" s="37"/>
      <c r="B81" s="24" t="s">
        <v>263</v>
      </c>
      <c r="C81" s="25"/>
      <c r="D81" s="26" t="s">
        <v>264</v>
      </c>
      <c r="E81" s="24" t="s">
        <v>177</v>
      </c>
      <c r="F81" s="24" t="s">
        <v>182</v>
      </c>
      <c r="G81" s="24" t="s">
        <v>183</v>
      </c>
      <c r="H81" s="27" t="s">
        <v>225</v>
      </c>
      <c r="II81" s="7"/>
    </row>
    <row r="82" s="3" customFormat="1" ht="30.95" customHeight="1" spans="1:256">
      <c r="A82" s="37"/>
      <c r="B82" s="24" t="s">
        <v>265</v>
      </c>
      <c r="C82" s="25"/>
      <c r="D82" s="26" t="s">
        <v>266</v>
      </c>
      <c r="E82" s="24" t="s">
        <v>181</v>
      </c>
      <c r="F82" s="24" t="s">
        <v>182</v>
      </c>
      <c r="G82" s="24" t="s">
        <v>183</v>
      </c>
      <c r="H82" s="27" t="s">
        <v>185</v>
      </c>
      <c r="II82" s="7"/>
    </row>
    <row r="83" s="3" customFormat="1" ht="24.95" customHeight="1" spans="1:256">
      <c r="A83" s="37"/>
      <c r="B83" s="24" t="s">
        <v>267</v>
      </c>
      <c r="C83" s="25"/>
      <c r="D83" s="26" t="s">
        <v>268</v>
      </c>
      <c r="E83" s="24" t="s">
        <v>177</v>
      </c>
      <c r="F83" s="24" t="s">
        <v>178</v>
      </c>
      <c r="G83" s="24" t="s">
        <v>183</v>
      </c>
      <c r="H83" s="27" t="s">
        <v>185</v>
      </c>
      <c r="II83" s="7"/>
    </row>
    <row r="84" s="6" customFormat="1" ht="24.95" customHeight="1" spans="1:256">
      <c r="A84" s="37" t="s">
        <v>269</v>
      </c>
      <c r="B84" s="37" t="s">
        <v>270</v>
      </c>
      <c r="C84" s="25"/>
      <c r="D84" s="53" t="s">
        <v>271</v>
      </c>
      <c r="E84" s="24" t="s">
        <v>181</v>
      </c>
      <c r="F84" s="24" t="s">
        <v>182</v>
      </c>
      <c r="G84" s="24" t="s">
        <v>187</v>
      </c>
      <c r="H84" s="27" t="s">
        <v>175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</row>
    <row r="85" s="3" customFormat="1" ht="24.95" customHeight="1" spans="1:256">
      <c r="A85" s="37"/>
      <c r="B85" s="24" t="s">
        <v>272</v>
      </c>
      <c r="C85" s="25"/>
      <c r="D85" s="26" t="s">
        <v>273</v>
      </c>
      <c r="E85" s="24" t="s">
        <v>181</v>
      </c>
      <c r="F85" s="24" t="s">
        <v>178</v>
      </c>
      <c r="G85" s="24" t="s">
        <v>183</v>
      </c>
      <c r="H85" s="27" t="s">
        <v>185</v>
      </c>
      <c r="II85" s="7"/>
    </row>
    <row r="86" s="6" customFormat="1" ht="24.95" customHeight="1" spans="1:256">
      <c r="A86" s="37"/>
      <c r="B86" s="24" t="s">
        <v>274</v>
      </c>
      <c r="C86" s="25"/>
      <c r="D86" s="54" t="s">
        <v>275</v>
      </c>
      <c r="E86" s="24" t="s">
        <v>181</v>
      </c>
      <c r="F86" s="24" t="s">
        <v>182</v>
      </c>
      <c r="G86" s="24" t="s">
        <v>183</v>
      </c>
      <c r="H86" s="27" t="s">
        <v>180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</row>
    <row r="87" s="6" customFormat="1" ht="24.95" customHeight="1" spans="1:256">
      <c r="A87" s="37"/>
      <c r="B87" s="24" t="s">
        <v>276</v>
      </c>
      <c r="C87" s="25"/>
      <c r="D87" s="26" t="s">
        <v>277</v>
      </c>
      <c r="E87" s="24" t="s">
        <v>203</v>
      </c>
      <c r="F87" s="24" t="s">
        <v>182</v>
      </c>
      <c r="G87" s="24" t="s">
        <v>183</v>
      </c>
      <c r="H87" s="27" t="s">
        <v>184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</row>
    <row r="88" s="6" customFormat="1" ht="24.95" customHeight="1" spans="1:256">
      <c r="A88" s="37"/>
      <c r="B88" s="24" t="s">
        <v>278</v>
      </c>
      <c r="C88" s="25"/>
      <c r="D88" s="26" t="s">
        <v>279</v>
      </c>
      <c r="E88" s="24" t="s">
        <v>181</v>
      </c>
      <c r="F88" s="24" t="s">
        <v>182</v>
      </c>
      <c r="G88" s="24" t="s">
        <v>183</v>
      </c>
      <c r="H88" s="27" t="s">
        <v>185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</row>
    <row r="89" s="6" customFormat="1" ht="24.95" customHeight="1" spans="1:256">
      <c r="A89" s="37"/>
      <c r="B89" s="24" t="s">
        <v>280</v>
      </c>
      <c r="C89" s="25"/>
      <c r="D89" s="26" t="s">
        <v>281</v>
      </c>
      <c r="E89" s="24" t="s">
        <v>181</v>
      </c>
      <c r="F89" s="24" t="s">
        <v>182</v>
      </c>
      <c r="G89" s="24" t="s">
        <v>187</v>
      </c>
      <c r="H89" s="27" t="s">
        <v>175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</row>
    <row r="90" s="6" customFormat="1" ht="24.95" customHeight="1" spans="1:256">
      <c r="A90" s="37"/>
      <c r="B90" s="47" t="s">
        <v>282</v>
      </c>
      <c r="C90" s="25"/>
      <c r="D90" s="26" t="s">
        <v>283</v>
      </c>
      <c r="E90" s="24" t="s">
        <v>181</v>
      </c>
      <c r="F90" s="24" t="s">
        <v>186</v>
      </c>
      <c r="G90" s="24" t="s">
        <v>187</v>
      </c>
      <c r="H90" s="27" t="s">
        <v>175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</row>
    <row r="91" s="6" customFormat="1" ht="24.95" customHeight="1" spans="1:256">
      <c r="A91" s="37"/>
      <c r="B91" s="24" t="s">
        <v>284</v>
      </c>
      <c r="C91" s="25"/>
      <c r="D91" s="26" t="s">
        <v>285</v>
      </c>
      <c r="E91" s="24" t="s">
        <v>181</v>
      </c>
      <c r="F91" s="24" t="s">
        <v>186</v>
      </c>
      <c r="G91" s="24" t="s">
        <v>187</v>
      </c>
      <c r="H91" s="27" t="s">
        <v>175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</row>
    <row r="92" s="7" customFormat="1" ht="24.95" customHeight="1" spans="1:256">
      <c r="A92" s="37"/>
      <c r="B92" s="24" t="s">
        <v>286</v>
      </c>
      <c r="C92" s="25"/>
      <c r="D92" s="26" t="s">
        <v>287</v>
      </c>
      <c r="E92" s="24" t="s">
        <v>181</v>
      </c>
      <c r="F92" s="24" t="s">
        <v>186</v>
      </c>
      <c r="G92" s="24" t="s">
        <v>187</v>
      </c>
      <c r="H92" s="27" t="s">
        <v>175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</row>
  </sheetData>
  <mergeCells count="18">
    <mergeCell ref="A1:H1"/>
    <mergeCell ref="G2:H2"/>
    <mergeCell ref="A4:A11"/>
    <mergeCell ref="A12:A15"/>
    <mergeCell ref="A16:A18"/>
    <mergeCell ref="A19:A23"/>
    <mergeCell ref="A24:A28"/>
    <mergeCell ref="A29:A39"/>
    <mergeCell ref="A40:A45"/>
    <mergeCell ref="A46:A51"/>
    <mergeCell ref="A52:A57"/>
    <mergeCell ref="A58:A60"/>
    <mergeCell ref="A61:A65"/>
    <mergeCell ref="A66:A69"/>
    <mergeCell ref="A70:A77"/>
    <mergeCell ref="A78:A83"/>
    <mergeCell ref="A84:A92"/>
    <mergeCell ref="I24:I28"/>
  </mergeCells>
  <dataValidations count="4">
    <dataValidation type="list" allowBlank="1" showInputMessage="1" showErrorMessage="1" sqref="E4:E92">
      <formula1>"原有,新增,修改,删除"</formula1>
    </dataValidation>
    <dataValidation type="list" allowBlank="1" showInputMessage="1" showErrorMessage="1" sqref="F4:F92">
      <formula1>"未商议,已建议,已批准,已设计,已实现,已验证,已删除"</formula1>
    </dataValidation>
    <dataValidation type="list" allowBlank="1" showInputMessage="1" showErrorMessage="1" sqref="G4:G92">
      <formula1>"高,中,低"</formula1>
    </dataValidation>
    <dataValidation type="list" allowBlank="1" showInputMessage="1" showErrorMessage="1" sqref="H4:H92">
      <formula1>"V0.1, V0.2, V0.3, V0.4, 未计划"</formula1>
    </dataValidation>
  </dataValidations>
  <pageMargins left="0.697916666666667" right="0.697916666666667" top="0.75" bottom="0.75" header="0.3" footer="0.3"/>
  <pageSetup paperSize="9" firstPageNumber="4294963191" orientation="portrait" useFirstPageNumber="1" horizontalDpi="1200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主控板功能需求V1.0</vt:lpstr>
      <vt:lpstr>开发环境需求2</vt:lpstr>
      <vt:lpstr>运行环境需求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姚少军</dc:creator>
  <cp:lastModifiedBy>、</cp:lastModifiedBy>
  <dcterms:created xsi:type="dcterms:W3CDTF">2014-06-25T13:55:00Z</dcterms:created>
  <cp:lastPrinted>2019-07-07T09:11:00Z</cp:lastPrinted>
  <dcterms:modified xsi:type="dcterms:W3CDTF">2026-07-22T07:12:29Z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KSOVERCOUNTS">
    <vt:lpwstr>20</vt:lpwstr>
  </property>
  <property fmtid="{D5CDD505-2E9C-101B-9397-08002B2CF9AE}" pid="4" name="公司">
    <vt:lpwstr>派诺科技</vt:lpwstr>
  </property>
  <property fmtid="{D5CDD505-2E9C-101B-9397-08002B2CF9AE}" pid="5" name="KSOVERGUID">
    <vt:lpwstr>7e6a1a75e8e815b01502e91bb5f6cfa4|54648a558fd603fe5a22d2b130de39b9</vt:lpwstr>
  </property>
  <property fmtid="{D5CDD505-2E9C-101B-9397-08002B2CF9AE}" pid="6" name="ICV">
    <vt:lpwstr>41852DD0C0384768A147E257993EC564_12</vt:lpwstr>
  </property>
  <property fmtid="{D5CDD505-2E9C-101B-9397-08002B2CF9AE}" pid="7" name="CalculationRule">
    <vt:i4>0</vt:i4>
  </property>
</Properties>
</file>